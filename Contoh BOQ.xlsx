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F04E7C6-6179-4735-9704-37DE276BEB13}" xr6:coauthVersionLast="47" xr6:coauthVersionMax="47" xr10:uidLastSave="{00000000-0000-0000-0000-000000000000}"/>
  <bookViews>
    <workbookView xWindow="-108" yWindow="-108" windowWidth="23256" windowHeight="12456" xr2:uid="{29778F74-FF0A-4F2F-9FC3-F87E639771BE}"/>
  </bookViews>
  <sheets>
    <sheet name="RAB 4 Hasil meeting 5 apr 26" sheetId="10" r:id="rId1"/>
  </sheets>
  <definedNames>
    <definedName name="_xlnm.Print_Area" localSheetId="0">'RAB 4 Hasil meeting 5 apr 26'!$A$1:$J$376</definedName>
    <definedName name="_xlnm.Print_Titles" localSheetId="0">'RAB 4 Hasil meeting 5 apr 26'!$1:$12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9" i="10" l="1"/>
  <c r="H311" i="10"/>
  <c r="G272" i="10"/>
  <c r="H271" i="10"/>
  <c r="H270" i="10"/>
  <c r="H267" i="10"/>
  <c r="H268" i="10"/>
  <c r="H179" i="10"/>
  <c r="I179" i="10" s="1"/>
  <c r="H156" i="10"/>
  <c r="G156" i="10"/>
  <c r="H153" i="10"/>
  <c r="H85" i="10"/>
  <c r="H81" i="10"/>
  <c r="H72" i="10"/>
  <c r="G66" i="10"/>
  <c r="I66" i="10" s="1"/>
  <c r="H351" i="10"/>
  <c r="G351" i="10"/>
  <c r="I351" i="10" s="1"/>
  <c r="H350" i="10"/>
  <c r="G350" i="10"/>
  <c r="H349" i="10"/>
  <c r="G349" i="10"/>
  <c r="H348" i="10"/>
  <c r="G348" i="10"/>
  <c r="I348" i="10" s="1"/>
  <c r="H347" i="10"/>
  <c r="G347" i="10"/>
  <c r="H345" i="10"/>
  <c r="G345" i="10"/>
  <c r="I345" i="10" s="1"/>
  <c r="H344" i="10"/>
  <c r="G344" i="10"/>
  <c r="I344" i="10" s="1"/>
  <c r="H343" i="10"/>
  <c r="G343" i="10"/>
  <c r="I343" i="10" s="1"/>
  <c r="H342" i="10"/>
  <c r="G342" i="10"/>
  <c r="I342" i="10" s="1"/>
  <c r="H341" i="10"/>
  <c r="G341" i="10"/>
  <c r="H340" i="10"/>
  <c r="G340" i="10"/>
  <c r="H339" i="10"/>
  <c r="I339" i="10" s="1"/>
  <c r="G339" i="10"/>
  <c r="G338" i="10"/>
  <c r="G337" i="10"/>
  <c r="H336" i="10"/>
  <c r="G336" i="10"/>
  <c r="H335" i="10"/>
  <c r="G335" i="10"/>
  <c r="H334" i="10"/>
  <c r="G334" i="10"/>
  <c r="I334" i="10" s="1"/>
  <c r="H333" i="10"/>
  <c r="G333" i="10"/>
  <c r="H332" i="10"/>
  <c r="G332" i="10"/>
  <c r="H331" i="10"/>
  <c r="G331" i="10"/>
  <c r="I331" i="10" s="1"/>
  <c r="H330" i="10"/>
  <c r="G330" i="10"/>
  <c r="G329" i="10"/>
  <c r="H328" i="10"/>
  <c r="G328" i="10"/>
  <c r="I328" i="10" s="1"/>
  <c r="H327" i="10"/>
  <c r="I327" i="10" s="1"/>
  <c r="G327" i="10"/>
  <c r="H326" i="10"/>
  <c r="G326" i="10"/>
  <c r="I326" i="10" s="1"/>
  <c r="A326" i="10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50" i="10" s="1"/>
  <c r="A351" i="10" s="1"/>
  <c r="H325" i="10"/>
  <c r="G325" i="10"/>
  <c r="I325" i="10" s="1"/>
  <c r="A325" i="10"/>
  <c r="H324" i="10"/>
  <c r="G324" i="10"/>
  <c r="I324" i="10" s="1"/>
  <c r="H323" i="10"/>
  <c r="G323" i="10"/>
  <c r="I323" i="10" s="1"/>
  <c r="H322" i="10"/>
  <c r="G322" i="10"/>
  <c r="H321" i="10"/>
  <c r="G321" i="10"/>
  <c r="I321" i="10" s="1"/>
  <c r="H320" i="10"/>
  <c r="G320" i="10"/>
  <c r="I320" i="10" s="1"/>
  <c r="H319" i="10"/>
  <c r="G319" i="10"/>
  <c r="H318" i="10"/>
  <c r="G318" i="10"/>
  <c r="H314" i="10"/>
  <c r="G314" i="10"/>
  <c r="H313" i="10"/>
  <c r="G313" i="10"/>
  <c r="H312" i="10"/>
  <c r="G312" i="10"/>
  <c r="I312" i="10" s="1"/>
  <c r="H310" i="10"/>
  <c r="G310" i="10"/>
  <c r="H308" i="10"/>
  <c r="G308" i="10"/>
  <c r="I308" i="10" s="1"/>
  <c r="H307" i="10"/>
  <c r="G307" i="10"/>
  <c r="H306" i="10"/>
  <c r="G306" i="10"/>
  <c r="H305" i="10"/>
  <c r="G305" i="10"/>
  <c r="I305" i="10" s="1"/>
  <c r="H304" i="10"/>
  <c r="H303" i="10"/>
  <c r="G303" i="10"/>
  <c r="H302" i="10"/>
  <c r="G302" i="10"/>
  <c r="I302" i="10" s="1"/>
  <c r="H301" i="10"/>
  <c r="G301" i="10"/>
  <c r="H299" i="10"/>
  <c r="G299" i="10"/>
  <c r="I299" i="10" s="1"/>
  <c r="H298" i="10"/>
  <c r="G298" i="10"/>
  <c r="H297" i="10"/>
  <c r="G297" i="10"/>
  <c r="I297" i="10" s="1"/>
  <c r="H296" i="10"/>
  <c r="G296" i="10"/>
  <c r="I296" i="10" s="1"/>
  <c r="H295" i="10"/>
  <c r="G295" i="10"/>
  <c r="I295" i="10" s="1"/>
  <c r="H294" i="10"/>
  <c r="G294" i="10"/>
  <c r="H293" i="10"/>
  <c r="G293" i="10"/>
  <c r="I293" i="10" s="1"/>
  <c r="H292" i="10"/>
  <c r="G292" i="10"/>
  <c r="H291" i="10"/>
  <c r="G291" i="10"/>
  <c r="I291" i="10" s="1"/>
  <c r="H289" i="10"/>
  <c r="G289" i="10"/>
  <c r="I289" i="10" s="1"/>
  <c r="I288" i="10"/>
  <c r="H288" i="10"/>
  <c r="G288" i="10"/>
  <c r="H286" i="10"/>
  <c r="G286" i="10"/>
  <c r="H285" i="10"/>
  <c r="G285" i="10"/>
  <c r="I285" i="10" s="1"/>
  <c r="H280" i="10"/>
  <c r="G280" i="10"/>
  <c r="I280" i="10" s="1"/>
  <c r="H279" i="10"/>
  <c r="I279" i="10" s="1"/>
  <c r="G279" i="10"/>
  <c r="H278" i="10"/>
  <c r="G278" i="10"/>
  <c r="I278" i="10" s="1"/>
  <c r="H277" i="10"/>
  <c r="G277" i="10"/>
  <c r="H276" i="10"/>
  <c r="G276" i="10"/>
  <c r="H274" i="10"/>
  <c r="G274" i="10"/>
  <c r="I274" i="10" s="1"/>
  <c r="H273" i="10"/>
  <c r="G273" i="10"/>
  <c r="H272" i="10"/>
  <c r="G271" i="10"/>
  <c r="G270" i="10"/>
  <c r="G268" i="10"/>
  <c r="G267" i="10"/>
  <c r="H266" i="10"/>
  <c r="G266" i="10"/>
  <c r="H264" i="10"/>
  <c r="G264" i="10"/>
  <c r="H263" i="10"/>
  <c r="G263" i="10"/>
  <c r="H262" i="10"/>
  <c r="G262" i="10"/>
  <c r="H260" i="10"/>
  <c r="G260" i="10"/>
  <c r="I260" i="10" s="1"/>
  <c r="H259" i="10"/>
  <c r="G259" i="10"/>
  <c r="H257" i="10"/>
  <c r="G257" i="10"/>
  <c r="I257" i="10" s="1"/>
  <c r="H256" i="10"/>
  <c r="G256" i="10"/>
  <c r="H255" i="10"/>
  <c r="G255" i="10"/>
  <c r="H253" i="10"/>
  <c r="G253" i="10"/>
  <c r="I253" i="10" s="1"/>
  <c r="H252" i="10"/>
  <c r="G252" i="10"/>
  <c r="H251" i="10"/>
  <c r="G251" i="10"/>
  <c r="H249" i="10"/>
  <c r="G249" i="10"/>
  <c r="I249" i="10" s="1"/>
  <c r="H248" i="10"/>
  <c r="G248" i="10"/>
  <c r="I248" i="10" s="1"/>
  <c r="G244" i="10"/>
  <c r="G243" i="10"/>
  <c r="H242" i="10"/>
  <c r="G242" i="10"/>
  <c r="I242" i="10" s="1"/>
  <c r="H241" i="10"/>
  <c r="G241" i="10"/>
  <c r="A241" i="10"/>
  <c r="A242" i="10" s="1"/>
  <c r="A243" i="10" s="1"/>
  <c r="A244" i="10" s="1"/>
  <c r="I240" i="10"/>
  <c r="H240" i="10"/>
  <c r="G240" i="10"/>
  <c r="H237" i="10"/>
  <c r="I237" i="10" s="1"/>
  <c r="G237" i="10"/>
  <c r="H236" i="10"/>
  <c r="G236" i="10"/>
  <c r="I236" i="10" s="1"/>
  <c r="H235" i="10"/>
  <c r="G235" i="10"/>
  <c r="I235" i="10" s="1"/>
  <c r="H234" i="10"/>
  <c r="G234" i="10"/>
  <c r="H233" i="10"/>
  <c r="G233" i="10"/>
  <c r="H232" i="10"/>
  <c r="G232" i="10"/>
  <c r="H231" i="10"/>
  <c r="G231" i="10"/>
  <c r="I231" i="10" s="1"/>
  <c r="H229" i="10"/>
  <c r="G229" i="10"/>
  <c r="H228" i="10"/>
  <c r="G228" i="10"/>
  <c r="H227" i="10"/>
  <c r="I227" i="10" s="1"/>
  <c r="G227" i="10"/>
  <c r="H226" i="10"/>
  <c r="G226" i="10"/>
  <c r="I226" i="10" s="1"/>
  <c r="H225" i="10"/>
  <c r="G225" i="10"/>
  <c r="I225" i="10" s="1"/>
  <c r="H224" i="10"/>
  <c r="G224" i="10"/>
  <c r="I224" i="10" s="1"/>
  <c r="H223" i="10"/>
  <c r="G223" i="10"/>
  <c r="I223" i="10" s="1"/>
  <c r="H222" i="10"/>
  <c r="I222" i="10" s="1"/>
  <c r="G222" i="10"/>
  <c r="H221" i="10"/>
  <c r="G221" i="10"/>
  <c r="I221" i="10" s="1"/>
  <c r="H220" i="10"/>
  <c r="G220" i="10"/>
  <c r="I219" i="10"/>
  <c r="H219" i="10"/>
  <c r="G219" i="10"/>
  <c r="H218" i="10"/>
  <c r="G218" i="10"/>
  <c r="H214" i="10"/>
  <c r="I214" i="10" s="1"/>
  <c r="G214" i="10"/>
  <c r="H213" i="10"/>
  <c r="G213" i="10"/>
  <c r="H212" i="10"/>
  <c r="G212" i="10"/>
  <c r="I212" i="10" s="1"/>
  <c r="H211" i="10"/>
  <c r="G211" i="10"/>
  <c r="H210" i="10"/>
  <c r="I210" i="10" s="1"/>
  <c r="G210" i="10"/>
  <c r="H209" i="10"/>
  <c r="I209" i="10" s="1"/>
  <c r="G209" i="10"/>
  <c r="A209" i="10"/>
  <c r="A210" i="10" s="1"/>
  <c r="A211" i="10" s="1"/>
  <c r="A212" i="10" s="1"/>
  <c r="A213" i="10" s="1"/>
  <c r="A214" i="10" s="1"/>
  <c r="H208" i="10"/>
  <c r="G208" i="10"/>
  <c r="H205" i="10"/>
  <c r="G205" i="10"/>
  <c r="H204" i="10"/>
  <c r="G204" i="10"/>
  <c r="H203" i="10"/>
  <c r="G203" i="10"/>
  <c r="I203" i="10" s="1"/>
  <c r="H202" i="10"/>
  <c r="G202" i="10"/>
  <c r="H201" i="10"/>
  <c r="I201" i="10" s="1"/>
  <c r="G201" i="10"/>
  <c r="H199" i="10"/>
  <c r="G199" i="10"/>
  <c r="I199" i="10" s="1"/>
  <c r="H198" i="10"/>
  <c r="G198" i="10"/>
  <c r="I198" i="10" s="1"/>
  <c r="I197" i="10"/>
  <c r="H197" i="10"/>
  <c r="G197" i="10"/>
  <c r="H196" i="10"/>
  <c r="G196" i="10"/>
  <c r="I196" i="10" s="1"/>
  <c r="H195" i="10"/>
  <c r="G195" i="10"/>
  <c r="I195" i="10" s="1"/>
  <c r="H191" i="10"/>
  <c r="G191" i="10"/>
  <c r="H190" i="10"/>
  <c r="G190" i="10"/>
  <c r="H189" i="10"/>
  <c r="G189" i="10"/>
  <c r="H187" i="10"/>
  <c r="G187" i="10"/>
  <c r="I187" i="10" s="1"/>
  <c r="H186" i="10"/>
  <c r="G186" i="10"/>
  <c r="I186" i="10" s="1"/>
  <c r="H185" i="10"/>
  <c r="G185" i="10"/>
  <c r="I185" i="10" s="1"/>
  <c r="H181" i="10"/>
  <c r="G181" i="10"/>
  <c r="I181" i="10" s="1"/>
  <c r="I180" i="10"/>
  <c r="H180" i="10"/>
  <c r="G180" i="10"/>
  <c r="G179" i="10"/>
  <c r="H178" i="10"/>
  <c r="G178" i="10"/>
  <c r="I178" i="10" s="1"/>
  <c r="H176" i="10"/>
  <c r="G176" i="10"/>
  <c r="H175" i="10"/>
  <c r="G175" i="10"/>
  <c r="H174" i="10"/>
  <c r="I174" i="10" s="1"/>
  <c r="G174" i="10"/>
  <c r="H173" i="10"/>
  <c r="G173" i="10"/>
  <c r="I173" i="10" s="1"/>
  <c r="H168" i="10"/>
  <c r="G168" i="10"/>
  <c r="H167" i="10"/>
  <c r="G167" i="10"/>
  <c r="H166" i="10"/>
  <c r="G166" i="10"/>
  <c r="H164" i="10"/>
  <c r="G164" i="10"/>
  <c r="H163" i="10"/>
  <c r="I163" i="10" s="1"/>
  <c r="G163" i="10"/>
  <c r="H162" i="10"/>
  <c r="G162" i="10"/>
  <c r="I162" i="10" s="1"/>
  <c r="H161" i="10"/>
  <c r="G161" i="10"/>
  <c r="I161" i="10" s="1"/>
  <c r="H160" i="10"/>
  <c r="G160" i="10"/>
  <c r="I160" i="10" s="1"/>
  <c r="H158" i="10"/>
  <c r="G158" i="10"/>
  <c r="I158" i="10" s="1"/>
  <c r="I157" i="10"/>
  <c r="H157" i="10"/>
  <c r="G157" i="10"/>
  <c r="H155" i="10"/>
  <c r="G155" i="10"/>
  <c r="H154" i="10"/>
  <c r="G154" i="10"/>
  <c r="I154" i="10" s="1"/>
  <c r="G153" i="10"/>
  <c r="H152" i="10"/>
  <c r="G152" i="10"/>
  <c r="I152" i="10" s="1"/>
  <c r="H151" i="10"/>
  <c r="G151" i="10"/>
  <c r="I151" i="10" s="1"/>
  <c r="H150" i="10"/>
  <c r="G150" i="10"/>
  <c r="I150" i="10" s="1"/>
  <c r="H148" i="10"/>
  <c r="G148" i="10"/>
  <c r="I148" i="10" s="1"/>
  <c r="H147" i="10"/>
  <c r="G147" i="10"/>
  <c r="H146" i="10"/>
  <c r="G146" i="10"/>
  <c r="H145" i="10"/>
  <c r="H144" i="10"/>
  <c r="G144" i="10"/>
  <c r="I144" i="10" s="1"/>
  <c r="H125" i="10"/>
  <c r="G125" i="10"/>
  <c r="H124" i="10"/>
  <c r="G124" i="10"/>
  <c r="H123" i="10"/>
  <c r="G123" i="10"/>
  <c r="H119" i="10"/>
  <c r="G119" i="10"/>
  <c r="H117" i="10"/>
  <c r="G117" i="10"/>
  <c r="I117" i="10" s="1"/>
  <c r="H115" i="10"/>
  <c r="G115" i="10"/>
  <c r="H114" i="10"/>
  <c r="G114" i="10"/>
  <c r="H113" i="10"/>
  <c r="G113" i="10"/>
  <c r="H112" i="10"/>
  <c r="G112" i="10"/>
  <c r="I112" i="10" s="1"/>
  <c r="H111" i="10"/>
  <c r="G111" i="10"/>
  <c r="H109" i="10"/>
  <c r="G109" i="10"/>
  <c r="H108" i="10"/>
  <c r="G108" i="10"/>
  <c r="H107" i="10"/>
  <c r="G107" i="10"/>
  <c r="H106" i="10"/>
  <c r="G106" i="10"/>
  <c r="H105" i="10"/>
  <c r="G105" i="10"/>
  <c r="H103" i="10"/>
  <c r="G103" i="10"/>
  <c r="I103" i="10" s="1"/>
  <c r="H102" i="10"/>
  <c r="G102" i="10"/>
  <c r="H101" i="10"/>
  <c r="G101" i="10"/>
  <c r="H100" i="10"/>
  <c r="G100" i="10"/>
  <c r="I100" i="10" s="1"/>
  <c r="H99" i="10"/>
  <c r="G99" i="10"/>
  <c r="H98" i="10"/>
  <c r="G98" i="10"/>
  <c r="H96" i="10"/>
  <c r="H95" i="10"/>
  <c r="G95" i="10"/>
  <c r="I95" i="10" s="1"/>
  <c r="H94" i="10"/>
  <c r="H93" i="10"/>
  <c r="G91" i="10"/>
  <c r="H90" i="10"/>
  <c r="G90" i="10"/>
  <c r="I90" i="10" s="1"/>
  <c r="G89" i="10"/>
  <c r="I89" i="10" s="1"/>
  <c r="H89" i="10"/>
  <c r="G88" i="10"/>
  <c r="H88" i="10"/>
  <c r="H86" i="10"/>
  <c r="G86" i="10"/>
  <c r="G85" i="10"/>
  <c r="H84" i="10"/>
  <c r="G84" i="10"/>
  <c r="H83" i="10"/>
  <c r="I83" i="10" s="1"/>
  <c r="G83" i="10"/>
  <c r="G81" i="10"/>
  <c r="H80" i="10"/>
  <c r="G80" i="10"/>
  <c r="H79" i="10"/>
  <c r="G79" i="10"/>
  <c r="H78" i="10"/>
  <c r="G78" i="10"/>
  <c r="I78" i="10" s="1"/>
  <c r="H76" i="10"/>
  <c r="H75" i="10"/>
  <c r="H74" i="10"/>
  <c r="G74" i="10"/>
  <c r="I74" i="10" s="1"/>
  <c r="G72" i="10"/>
  <c r="H69" i="10"/>
  <c r="G69" i="10"/>
  <c r="H68" i="10"/>
  <c r="H67" i="10"/>
  <c r="H66" i="10"/>
  <c r="I64" i="10"/>
  <c r="H64" i="10"/>
  <c r="G64" i="10"/>
  <c r="H63" i="10"/>
  <c r="G63" i="10"/>
  <c r="H62" i="10"/>
  <c r="G62" i="10"/>
  <c r="I62" i="10" s="1"/>
  <c r="H61" i="10"/>
  <c r="G61" i="10"/>
  <c r="H60" i="10"/>
  <c r="G60" i="10"/>
  <c r="I60" i="10" s="1"/>
  <c r="A59" i="10"/>
  <c r="A65" i="10" s="1"/>
  <c r="A71" i="10" s="1"/>
  <c r="A77" i="10" s="1"/>
  <c r="A82" i="10" s="1"/>
  <c r="A87" i="10" s="1"/>
  <c r="A92" i="10" s="1"/>
  <c r="A97" i="10" s="1"/>
  <c r="A104" i="10" s="1"/>
  <c r="A110" i="10" s="1"/>
  <c r="A116" i="10" s="1"/>
  <c r="A118" i="10" s="1"/>
  <c r="H58" i="10"/>
  <c r="G58" i="10"/>
  <c r="I58" i="10" s="1"/>
  <c r="H57" i="10"/>
  <c r="G57" i="10"/>
  <c r="I57" i="10" s="1"/>
  <c r="H56" i="10"/>
  <c r="G56" i="10"/>
  <c r="I56" i="10" s="1"/>
  <c r="A55" i="10"/>
  <c r="H54" i="10"/>
  <c r="G54" i="10"/>
  <c r="I54" i="10" s="1"/>
  <c r="H51" i="10"/>
  <c r="G51" i="10"/>
  <c r="I51" i="10" s="1"/>
  <c r="H45" i="10"/>
  <c r="G45" i="10"/>
  <c r="I45" i="10" s="1"/>
  <c r="G44" i="10"/>
  <c r="H43" i="10"/>
  <c r="H41" i="10"/>
  <c r="G41" i="10"/>
  <c r="I41" i="10" s="1"/>
  <c r="H44" i="10"/>
  <c r="A41" i="10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H40" i="10"/>
  <c r="G40" i="10"/>
  <c r="I40" i="10" s="1"/>
  <c r="H35" i="10"/>
  <c r="G35" i="10"/>
  <c r="H34" i="10"/>
  <c r="G34" i="10"/>
  <c r="I34" i="10" s="1"/>
  <c r="H33" i="10"/>
  <c r="G33" i="10"/>
  <c r="H32" i="10"/>
  <c r="G32" i="10"/>
  <c r="I32" i="10" s="1"/>
  <c r="H30" i="10"/>
  <c r="G30" i="10"/>
  <c r="H29" i="10"/>
  <c r="I29" i="10" s="1"/>
  <c r="G29" i="10"/>
  <c r="H28" i="10"/>
  <c r="G28" i="10"/>
  <c r="H26" i="10"/>
  <c r="G26" i="10"/>
  <c r="I25" i="10"/>
  <c r="H25" i="10"/>
  <c r="G25" i="10"/>
  <c r="H23" i="10"/>
  <c r="G23" i="10"/>
  <c r="I23" i="10" s="1"/>
  <c r="H22" i="10"/>
  <c r="G22" i="10"/>
  <c r="H21" i="10"/>
  <c r="G21" i="10"/>
  <c r="I21" i="10" s="1"/>
  <c r="H20" i="10"/>
  <c r="G20" i="10"/>
  <c r="I20" i="10" s="1"/>
  <c r="H19" i="10"/>
  <c r="G19" i="10"/>
  <c r="I19" i="10" s="1"/>
  <c r="H18" i="10"/>
  <c r="G18" i="10"/>
  <c r="I18" i="10" s="1"/>
  <c r="I17" i="10"/>
  <c r="H17" i="10"/>
  <c r="G17" i="10"/>
  <c r="H16" i="10"/>
  <c r="I16" i="10" s="1"/>
  <c r="G16" i="10"/>
  <c r="I114" i="10" l="1"/>
  <c r="I190" i="10"/>
  <c r="I220" i="10"/>
  <c r="I228" i="10"/>
  <c r="I286" i="10"/>
  <c r="I332" i="10"/>
  <c r="I113" i="10"/>
  <c r="I30" i="10"/>
  <c r="I84" i="10"/>
  <c r="I115" i="10"/>
  <c r="I146" i="10"/>
  <c r="I191" i="10"/>
  <c r="I202" i="10"/>
  <c r="I211" i="10"/>
  <c r="I229" i="10"/>
  <c r="I252" i="10"/>
  <c r="I318" i="10"/>
  <c r="I341" i="10"/>
  <c r="I349" i="10"/>
  <c r="I147" i="10"/>
  <c r="I263" i="10"/>
  <c r="I276" i="10"/>
  <c r="I319" i="10"/>
  <c r="I333" i="10"/>
  <c r="I350" i="10"/>
  <c r="I98" i="10"/>
  <c r="I107" i="10"/>
  <c r="I33" i="10"/>
  <c r="I61" i="10"/>
  <c r="I99" i="10"/>
  <c r="I204" i="10"/>
  <c r="I213" i="10"/>
  <c r="I232" i="10"/>
  <c r="I241" i="10"/>
  <c r="I298" i="10"/>
  <c r="I307" i="10"/>
  <c r="I123" i="10"/>
  <c r="I205" i="10"/>
  <c r="I335" i="10"/>
  <c r="I28" i="10"/>
  <c r="I256" i="10"/>
  <c r="I336" i="10"/>
  <c r="I35" i="10"/>
  <c r="I63" i="10"/>
  <c r="I111" i="10"/>
  <c r="I124" i="10"/>
  <c r="I208" i="10"/>
  <c r="I215" i="10" s="1"/>
  <c r="I218" i="10"/>
  <c r="I268" i="10"/>
  <c r="I292" i="10"/>
  <c r="I310" i="10"/>
  <c r="I26" i="10"/>
  <c r="I125" i="10"/>
  <c r="I330" i="10"/>
  <c r="I273" i="10"/>
  <c r="I80" i="10"/>
  <c r="I176" i="10"/>
  <c r="I259" i="10"/>
  <c r="I294" i="10"/>
  <c r="I347" i="10"/>
  <c r="I22" i="10"/>
  <c r="I340" i="10"/>
  <c r="H338" i="10"/>
  <c r="I338" i="10" s="1"/>
  <c r="I352" i="10" s="1"/>
  <c r="H337" i="10"/>
  <c r="I337" i="10"/>
  <c r="I329" i="10"/>
  <c r="I322" i="10"/>
  <c r="I314" i="10"/>
  <c r="I313" i="10"/>
  <c r="G311" i="10"/>
  <c r="I311" i="10" s="1"/>
  <c r="G304" i="10"/>
  <c r="I306" i="10"/>
  <c r="I303" i="10"/>
  <c r="I304" i="10"/>
  <c r="I301" i="10"/>
  <c r="I277" i="10"/>
  <c r="I272" i="10"/>
  <c r="I271" i="10"/>
  <c r="I270" i="10"/>
  <c r="I267" i="10"/>
  <c r="I266" i="10"/>
  <c r="I264" i="10"/>
  <c r="I262" i="10"/>
  <c r="I255" i="10"/>
  <c r="I251" i="10"/>
  <c r="I233" i="10"/>
  <c r="I234" i="10"/>
  <c r="I238" i="10" s="1"/>
  <c r="H244" i="10"/>
  <c r="I244" i="10" s="1"/>
  <c r="H243" i="10"/>
  <c r="I243" i="10"/>
  <c r="I245" i="10"/>
  <c r="I189" i="10"/>
  <c r="I175" i="10"/>
  <c r="I168" i="10"/>
  <c r="I166" i="10"/>
  <c r="I167" i="10"/>
  <c r="I164" i="10"/>
  <c r="I155" i="10"/>
  <c r="I156" i="10"/>
  <c r="I153" i="10"/>
  <c r="H127" i="10"/>
  <c r="G127" i="10"/>
  <c r="H126" i="10"/>
  <c r="I119" i="10"/>
  <c r="I105" i="10"/>
  <c r="I106" i="10"/>
  <c r="I108" i="10"/>
  <c r="I109" i="10"/>
  <c r="I102" i="10"/>
  <c r="I101" i="10"/>
  <c r="I85" i="10"/>
  <c r="I86" i="10"/>
  <c r="I81" i="10"/>
  <c r="I79" i="10"/>
  <c r="H73" i="10"/>
  <c r="I72" i="10"/>
  <c r="I69" i="10"/>
  <c r="H70" i="10"/>
  <c r="I37" i="10"/>
  <c r="H48" i="10"/>
  <c r="H47" i="10"/>
  <c r="I88" i="10"/>
  <c r="G47" i="10"/>
  <c r="I47" i="10" s="1"/>
  <c r="I281" i="10"/>
  <c r="I182" i="10"/>
  <c r="I206" i="10"/>
  <c r="I192" i="10"/>
  <c r="H42" i="10"/>
  <c r="I44" i="10"/>
  <c r="G46" i="10"/>
  <c r="I46" i="10" s="1"/>
  <c r="G70" i="10"/>
  <c r="G75" i="10"/>
  <c r="I75" i="10" s="1"/>
  <c r="H91" i="10"/>
  <c r="I91" i="10" s="1"/>
  <c r="G96" i="10"/>
  <c r="I96" i="10" s="1"/>
  <c r="G43" i="10"/>
  <c r="I43" i="10" s="1"/>
  <c r="H46" i="10"/>
  <c r="G67" i="10"/>
  <c r="I67" i="10" s="1"/>
  <c r="G76" i="10"/>
  <c r="I76" i="10" s="1"/>
  <c r="G93" i="10"/>
  <c r="I93" i="10" s="1"/>
  <c r="G68" i="10"/>
  <c r="I68" i="10" s="1"/>
  <c r="G73" i="10"/>
  <c r="I73" i="10" s="1"/>
  <c r="G94" i="10"/>
  <c r="I94" i="10" s="1"/>
  <c r="G126" i="10"/>
  <c r="G145" i="10"/>
  <c r="I145" i="10" s="1"/>
  <c r="G42" i="10"/>
  <c r="I315" i="10" l="1"/>
  <c r="I126" i="10"/>
  <c r="G128" i="10"/>
  <c r="H128" i="10"/>
  <c r="I127" i="10"/>
  <c r="I70" i="10"/>
  <c r="I120" i="10" s="1"/>
  <c r="I42" i="10"/>
  <c r="G48" i="10"/>
  <c r="I48" i="10" s="1"/>
  <c r="H50" i="10"/>
  <c r="H49" i="10"/>
  <c r="H129" i="10" l="1"/>
  <c r="G129" i="10"/>
  <c r="I129" i="10" s="1"/>
  <c r="I128" i="10"/>
  <c r="G50" i="10"/>
  <c r="I50" i="10" s="1"/>
  <c r="G49" i="10"/>
  <c r="I49" i="10" s="1"/>
  <c r="I52" i="10"/>
  <c r="G130" i="10" l="1"/>
  <c r="H130" i="10"/>
  <c r="H131" i="10" l="1"/>
  <c r="G131" i="10"/>
  <c r="I131" i="10" s="1"/>
  <c r="I130" i="10"/>
  <c r="G132" i="10" l="1"/>
  <c r="H132" i="10"/>
  <c r="H133" i="10" l="1"/>
  <c r="I132" i="10"/>
  <c r="G133" i="10"/>
  <c r="I133" i="10" s="1"/>
  <c r="G134" i="10" l="1"/>
  <c r="H134" i="10"/>
  <c r="H135" i="10" l="1"/>
  <c r="I134" i="10"/>
  <c r="G135" i="10"/>
  <c r="I135" i="10" s="1"/>
  <c r="G136" i="10" l="1"/>
  <c r="H136" i="10"/>
  <c r="G137" i="10" l="1"/>
  <c r="H137" i="10"/>
  <c r="I136" i="10"/>
  <c r="H138" i="10" l="1"/>
  <c r="G138" i="10"/>
  <c r="I138" i="10" s="1"/>
  <c r="I137" i="10"/>
  <c r="G139" i="10" l="1"/>
  <c r="H139" i="10"/>
  <c r="H140" i="10" l="1"/>
  <c r="I139" i="10"/>
  <c r="G140" i="10"/>
  <c r="I140" i="10" s="1"/>
  <c r="G141" i="10" l="1"/>
  <c r="H141" i="10"/>
  <c r="H142" i="10" l="1"/>
  <c r="H143" i="10"/>
  <c r="I141" i="10"/>
  <c r="G143" i="10"/>
  <c r="G142" i="10"/>
  <c r="I143" i="10" l="1"/>
  <c r="I142" i="10"/>
  <c r="I169" i="10" l="1"/>
  <c r="I354" i="10" s="1"/>
  <c r="I355" i="10" l="1"/>
  <c r="I356" i="10" l="1"/>
  <c r="I357" i="10" s="1"/>
</calcChain>
</file>

<file path=xl/sharedStrings.xml><?xml version="1.0" encoding="utf-8"?>
<sst xmlns="http://schemas.openxmlformats.org/spreadsheetml/2006/main" count="672" uniqueCount="376">
  <si>
    <t>FORM TENDER PENAWARAN ANGGARAN BIAYA</t>
  </si>
  <si>
    <t>PEKERJAAN PEMBANGUNAN MAIN OFFICE AMM IPT</t>
  </si>
  <si>
    <t>NO</t>
  </si>
  <si>
    <t xml:space="preserve">URAIAN PEKERJAAN </t>
  </si>
  <si>
    <t>HARGA SATUAN</t>
  </si>
  <si>
    <t>JUMLAH HARGA</t>
  </si>
  <si>
    <t>TOTAL PRICE</t>
  </si>
  <si>
    <t>KETERANGAN</t>
  </si>
  <si>
    <t>VOLUME</t>
  </si>
  <si>
    <t>SATUAN</t>
  </si>
  <si>
    <t>BAHAN</t>
  </si>
  <si>
    <t>UPAH</t>
  </si>
  <si>
    <t>A</t>
  </si>
  <si>
    <t>PEKERJAAN PERSIAPAN</t>
  </si>
  <si>
    <t>Mobilasasi dan Demobilisasi</t>
  </si>
  <si>
    <t>a. Tenaga Kerja</t>
  </si>
  <si>
    <t>Prefab /Steel</t>
  </si>
  <si>
    <t>OH</t>
  </si>
  <si>
    <t>Civil</t>
  </si>
  <si>
    <t>M/E</t>
  </si>
  <si>
    <t>Staff</t>
  </si>
  <si>
    <t>b. Alat Kerja</t>
  </si>
  <si>
    <t>Ls</t>
  </si>
  <si>
    <t xml:space="preserve">Pengadaan Listrik Kerja </t>
  </si>
  <si>
    <t>Pengadaan Air Kerja</t>
  </si>
  <si>
    <t>Project Management</t>
  </si>
  <si>
    <t>a. Medical Facilty</t>
  </si>
  <si>
    <t>b. Biaya Administrasi Lapangan</t>
  </si>
  <si>
    <t>set</t>
  </si>
  <si>
    <t>Fasilitas Lapangan</t>
  </si>
  <si>
    <t>a. Direksi Keet</t>
  </si>
  <si>
    <t>m2</t>
  </si>
  <si>
    <t>b. Gudang Material</t>
  </si>
  <si>
    <t>c. Barak Pekerja</t>
  </si>
  <si>
    <t xml:space="preserve">Alat Keselamatan </t>
  </si>
  <si>
    <t>a. Alat Pelindung Diri</t>
  </si>
  <si>
    <t>unit</t>
  </si>
  <si>
    <t>Testing dan Komisioning</t>
  </si>
  <si>
    <t>(Tes Beton, Hidrotest, Test Grounding, Test Merger, dll )</t>
  </si>
  <si>
    <t>SUB TOTAL A PEKERJAAN PERSIAPAN</t>
  </si>
  <si>
    <t>B</t>
  </si>
  <si>
    <t>PEKERJAAN STRUKTURAL</t>
  </si>
  <si>
    <t>I</t>
  </si>
  <si>
    <t>PEKERJAAN TANAH</t>
  </si>
  <si>
    <t>Pekerjaan Galian Tanah Pondasi Batu Belah</t>
  </si>
  <si>
    <t>m3</t>
  </si>
  <si>
    <t>Pekerjaan Galian Tanah Pondasi Footplat FP 1, 2 &amp; 3 Uk 2000 x 2000 x 400 mm</t>
  </si>
  <si>
    <t>Pekerjaan Galian Tanah Pondasi Footplat FP 4 &amp; 5 Uk 1300 x 1300 x 300 mm</t>
  </si>
  <si>
    <t>Pekerjaan Galian Tanah Pondasi Footplat FP 6, 7 &amp; 8 Uk 800 x 800 x 300 mm</t>
  </si>
  <si>
    <t xml:space="preserve">Pekerjaan Galian Tanah Sloof </t>
  </si>
  <si>
    <t>Pekerjaan Urugan Pasir dibawah Pondasi Batu Belah</t>
  </si>
  <si>
    <t>Pekerjaan Urugan Pasir dibawah Pondasi Footplat FP 1, 2 &amp; 3 Uk 2000 x 2000 x 400 mm</t>
  </si>
  <si>
    <t>Pekerjaan Urugan Pasir dibawah Pondasi Footplat FP 4 &amp; 5 Uk 1300 x 1300 x 300 mm</t>
  </si>
  <si>
    <t>Pekerjaan Urugan Pasir dibawah Pondasi Footplat FP 6, 7 &amp; 8 Uk 800 x 800 x 300 mm</t>
  </si>
  <si>
    <t>Pekerjaan Urugan Pasir dibawah Sloof</t>
  </si>
  <si>
    <t>Pekerjaan Urugan Pasir dibawah Plat Lantai Utama</t>
  </si>
  <si>
    <t>Pekerjaan Urugan Tanah Kembali</t>
  </si>
  <si>
    <t>SUB TOTAL B.I PEKERJAAN TANAH</t>
  </si>
  <si>
    <t>II</t>
  </si>
  <si>
    <t>PEKERJAAN STRUKTUR BAWAH</t>
  </si>
  <si>
    <t>Pekerjaan Bowplank</t>
  </si>
  <si>
    <t>m</t>
  </si>
  <si>
    <t>Pekerjaan Pasangan Pondasi Batu Belah</t>
  </si>
  <si>
    <t>a. Pekerjaan Lantai Kerja Tebal 5 cm</t>
  </si>
  <si>
    <t>b. Pekerjaan Pasangan Pondasi Batu Belah</t>
  </si>
  <si>
    <t>Pekerjaan Pondasi Footplat FP 1, 2 &amp; 3 Uk 2000 x 2000 x 400 mm</t>
  </si>
  <si>
    <t>a. 9 Titik pancang Kayu Ulin uk. 10 x 10 cm (4m)</t>
  </si>
  <si>
    <t>b. Pekerjaan Lantai Kerja Tebal 5 cm</t>
  </si>
  <si>
    <t>c. Pekerjaan Pembesian Tulangan Pokok D16 mm</t>
  </si>
  <si>
    <t>kg</t>
  </si>
  <si>
    <t>d. Pekerjaan Bekisting Footplat Uk 2000 x 2000 x 400 mm</t>
  </si>
  <si>
    <t>e. Pekerjaan Pengecoran Footplat Uk 2000 x 2000 x 400 mm (K250)</t>
  </si>
  <si>
    <t>Pekerjaan Pondasi Footplat FP 4 &amp; 5 Uk 1300 x 1300 x 300 mm</t>
  </si>
  <si>
    <t>c. Pekerjaan Pembesian Tulangan Pokok D13 mm</t>
  </si>
  <si>
    <t>d. Pekerjaan Beskisting Footplat Uk 1300 x 1300 x 300 mm</t>
  </si>
  <si>
    <t>e. Pekerjaan Pengecoran Footplat Uk 1300 x 1300 x 300 mm (K250)</t>
  </si>
  <si>
    <t>Pekerjaan Pondasi Footplat FP 6,7 &amp;8 Uk 800 x 800 x 300 mm</t>
  </si>
  <si>
    <t>a. 5 Titik pancang Kayu Ulin uk. 10 x 10 cm (4m)</t>
  </si>
  <si>
    <t>e. Pekerjaan Pengecoran Footplat Uk 800 x 800 x 300 mm (K250)</t>
  </si>
  <si>
    <t>Pekerjaan Kolom Pedestal K1 Uk 500 x 350 mm</t>
  </si>
  <si>
    <t>a. Pekerjaan Pembesian Tulangan Pokok 10D16 mm</t>
  </si>
  <si>
    <t>b. Pekerjaan Pembesian Tulangan Sengkang 10P - 100 mm</t>
  </si>
  <si>
    <t>c.Pekerjaan Bekisting Kolom Pedestal K1 Uk 500 x 350 mm</t>
  </si>
  <si>
    <t>d. Pekerjaan Pengecoran Kolom Pedestal K1 Uk 500 x 350 mm (K250)</t>
  </si>
  <si>
    <t>Pekerjaan Kolom Pedestal K2 Uk 400 x 400 mm</t>
  </si>
  <si>
    <t>a. Pekerjaan Pembesian Tulangan Pokok 12D16 mm</t>
  </si>
  <si>
    <t>c.Pekerjaan Bekisting Kolom Pedestal K2 Uk 400 x 400 mm</t>
  </si>
  <si>
    <t>d. Pekerjaan Pengecoran Kolom Pedestal K2 Uk 400 x 400 mm (K250)</t>
  </si>
  <si>
    <t>Pekerjaan Kolom Pedestal K3 Uk 400 x 400 mm</t>
  </si>
  <si>
    <t>a. Pekerjaan Pembesian Tulangan Pokok  10D13 mm</t>
  </si>
  <si>
    <t>b. Pekerjaan Pembesian Tulangan Sengkang 8P - 100 mm</t>
  </si>
  <si>
    <t>c.Pekerjaan Bekisting Kolom Pedestal K3 Uk 400 x 400 mm</t>
  </si>
  <si>
    <t>d. Pekerjaan Pengecoran Kolom Pedestal K3 Uk 400 x 400 mm (K250)</t>
  </si>
  <si>
    <t>Pekerjaan Kolom Pedestal K4 Uk 250 x 150 mm</t>
  </si>
  <si>
    <t>c.Pekerjaan Bekisting Kolom Pedestal K4 Uk 250 x 150 mm</t>
  </si>
  <si>
    <t>d. Pekerjaan Pengecoran Kolom Pedestal K4 Uk 250 x 150 mm (K250)</t>
  </si>
  <si>
    <t xml:space="preserve">Pekerjaan Sloof SL1 Uk 500 x 250 mm </t>
  </si>
  <si>
    <t>b. Pekerjaan Pembesian Tulangan Pokok 6D13 mm</t>
  </si>
  <si>
    <r>
      <t xml:space="preserve">c. Pekerjaan Pembesian Peminggang Pokok 2 </t>
    </r>
    <r>
      <rPr>
        <sz val="11"/>
        <color theme="1"/>
        <rFont val="Aptos Narrow"/>
        <family val="2"/>
        <scheme val="minor"/>
      </rPr>
      <t>10P mm</t>
    </r>
  </si>
  <si>
    <t>d. Pekerjaan Pembesian Tulangan Sengkang 8P - 150 mm</t>
  </si>
  <si>
    <t xml:space="preserve">e. Pekerjaan Bekisting Pekerjaan Sloof SL1 Uk 400 x 200 mm </t>
  </si>
  <si>
    <t>f. Pekerjaan Pengecoran Sloof SL1 Uk 400 x 200 mm   (K250)</t>
  </si>
  <si>
    <t xml:space="preserve">Pekerjaan Sloof SL2 Uk 250 x 150 mm </t>
  </si>
  <si>
    <t>b. Pekerjaan Pembesian Tulangan Pokok 4Ø12 mm</t>
  </si>
  <si>
    <t>c. Pekerjaan Pembesian Tulangan Sengkang 8P - 200 mm</t>
  </si>
  <si>
    <t xml:space="preserve">d. Pekerjaan Bekisting Pekerjaan Sloof SL2 Uk 250 x 150 mm </t>
  </si>
  <si>
    <t>e. Pekerjaan Pengecoran Sloof SL2 Uk 250 x 150 mm (K250)</t>
  </si>
  <si>
    <t>Pekerjaan Plat Lantai FS1 Tebal 100 mm</t>
  </si>
  <si>
    <t xml:space="preserve">b. Pemasangan Plastik Cor </t>
  </si>
  <si>
    <t>c. Pekerjaan Pembesian Tulangan Wiremesh M6 (Single Layer)</t>
  </si>
  <si>
    <t>d. Pekerjaan Beskisting Plat Lantai Tebal 100 mm</t>
  </si>
  <si>
    <t>e. Pekerjaan Pengecoran Plat Lantai Tebal 100 mm (K200)</t>
  </si>
  <si>
    <t xml:space="preserve">Pekerjaan Plat Lantai FS2 </t>
  </si>
  <si>
    <t>a. Pekerjaan Pemasangan Pelat Panel Tebal 100 mm + Perekat dan asesoris</t>
  </si>
  <si>
    <t>Pekerjaan Plat Lantai FS 3</t>
  </si>
  <si>
    <t>SUB TOTAL B.II PEKERJAAN STRUKTUR BAWAH</t>
  </si>
  <si>
    <t>III</t>
  </si>
  <si>
    <t>PEKERJAAN STRUKTUR ATAS</t>
  </si>
  <si>
    <t>Pekerjaan Struktur Utama</t>
  </si>
  <si>
    <t xml:space="preserve">a. Pekerjaan Kolom K3A 500 x 200 </t>
  </si>
  <si>
    <t xml:space="preserve">b. Pekerjaan Kolom K4A 450 x 200 </t>
  </si>
  <si>
    <t>c. Pekerjaan Kolom K1 &amp; K2 WF 350 x 175 x 7 x11</t>
  </si>
  <si>
    <t>d. Pekerjaan Kolom K3 WF 300 x 150 x 6,5 x 5,9</t>
  </si>
  <si>
    <t>e. Pekerjaan Kolom K4 IWF 200 X 100 X 5,5 X 8 mm</t>
  </si>
  <si>
    <t>f. Pekerjaan Kolom K5 Double Pipe Steel 8"</t>
  </si>
  <si>
    <t>g. Pekerjaan Girder WF B1A 500 x 200 X 10 X 16 mm</t>
  </si>
  <si>
    <t>h. Pekerjaan Girder WF B2A 450 x 200 X 9 X 14 mm</t>
  </si>
  <si>
    <t>i. Pekerjaan Girder WF1A 350x175x7x11 mm</t>
  </si>
  <si>
    <t>j. Pekerjaan Girder WF1 300x150x6,5x9 mm</t>
  </si>
  <si>
    <t>k. Pekerjaan Girder WF2 250x125x6x9 mm</t>
  </si>
  <si>
    <t>l. Pekerjaan Girder WF3 200x100x5,5x8 mm</t>
  </si>
  <si>
    <t>m. Pekerjaan Girder WF4 = WF. 150x75x5x7</t>
  </si>
  <si>
    <t>n. Pekerjaan Balok UNP 100x50x29x5</t>
  </si>
  <si>
    <t>o. Pekerjaan Voute Baja WF1A 350x175x7x11 mm</t>
  </si>
  <si>
    <t>p. Pekerjaan Voute Baja WF1 300x150x6,5x9 mm</t>
  </si>
  <si>
    <t>q. Pekerjaan Voute Baja WF2 250 x 125 x 6 x 9 mm</t>
  </si>
  <si>
    <t>r. Pekerjaan Voute Baja WF3 200 x 100 x 5,5 x 8 mm</t>
  </si>
  <si>
    <t>s. Pekerjaan Plat stiffner Tebal 8 mm</t>
  </si>
  <si>
    <t>t. Pekerjaan Base Plat Thickness Tebal 10 mm</t>
  </si>
  <si>
    <t>u. Pekerjaan End Plat Sambung Thickness Tebal 10 mm</t>
  </si>
  <si>
    <t>v. Baut HTB M 19</t>
  </si>
  <si>
    <t>bh</t>
  </si>
  <si>
    <t>w. Angkur Besi Baut M19</t>
  </si>
  <si>
    <t>x. Finish Cat + Zinchromate</t>
  </si>
  <si>
    <t xml:space="preserve">Pekerjaan Kolom Beton Praktis </t>
  </si>
  <si>
    <t>Pekerjaan Ring Balok Beton</t>
  </si>
  <si>
    <t>Pekerjaan Tangga Utama L ; 120 cm</t>
  </si>
  <si>
    <t>a. Rangka Utama Baja WF 200x100x5,5x8</t>
  </si>
  <si>
    <t>b. Rangka Utama Baja WF 150x75x5x7</t>
  </si>
  <si>
    <t>c. Anak Tangga Plat Bordes T : 3 mm</t>
  </si>
  <si>
    <t>d. Siku L 30 x 30 x 3 mm</t>
  </si>
  <si>
    <t>e. Handrail Hollow Galvanis 40 x 40 mm</t>
  </si>
  <si>
    <t>f. Post Rail Hollow Galvanis 40 x 40 mm</t>
  </si>
  <si>
    <t>g. Bottom Rail Hollow Galvanis 40 x 40 mm</t>
  </si>
  <si>
    <t>h. Plat Expended 2mm</t>
  </si>
  <si>
    <t>i. Finish Cat + Zinchromate</t>
  </si>
  <si>
    <t>Pekerjaan Railling Lantai 2, H : 120 cm (Main Office lt.2)</t>
  </si>
  <si>
    <t>a. Handrail Hollow Galvanis 40 x 40 mm</t>
  </si>
  <si>
    <t>b. Post Rail Hollow Galvanis 40 x 40 mm</t>
  </si>
  <si>
    <t>c. Bottom Rail Hollow Galvanis 40 x 40 mm</t>
  </si>
  <si>
    <t>d. Plat Expended 2mm</t>
  </si>
  <si>
    <t>e. Finish Cat + Zinchromate</t>
  </si>
  <si>
    <t>Pekerjaan Railling Lantai 2, H : 120 cm (Balkon lt 2)</t>
  </si>
  <si>
    <t>c. Finish Cat + Zinchromate</t>
  </si>
  <si>
    <t>SUB TOTAL B.III PEKERJAAN STRUKTUR ATAS</t>
  </si>
  <si>
    <t>C</t>
  </si>
  <si>
    <t>PEKERJAAN ARSITEKTURAL</t>
  </si>
  <si>
    <t>PEKERJAAN FINISH PASANGAN LANTAI</t>
  </si>
  <si>
    <t>Lantai 1</t>
  </si>
  <si>
    <t>a. Keramik F1 600 x 600 mm Upolished Type Roman (Ddubai Black) + Screeding 3 cm</t>
  </si>
  <si>
    <t>b. Keramik F2 600 x 600 mm Polished Type Roman (Ddaegu Perla) + Screeding 3 cm</t>
  </si>
  <si>
    <t>c. Keramik F3 Toilet 400 x 400 mm (Chrysant Bone) + Screeding 3cm</t>
  </si>
  <si>
    <t>d. Keramik F5 dinding Kamar Mandi 200 x 400,Type Roman (dLivorno Bone) + Screeding</t>
  </si>
  <si>
    <t>Lantai 2</t>
  </si>
  <si>
    <t xml:space="preserve">c. Lantai Panel F4 Screeding Beton 5cm </t>
  </si>
  <si>
    <t>d. Lantai Panel F4  Waterproofing Coating 3 Lapis</t>
  </si>
  <si>
    <t>SUB TOTAL C.I PEKERJAAN FINISH PASANGAN LANTAI</t>
  </si>
  <si>
    <t>PEKERJAAN PASANGAN DINDING</t>
  </si>
  <si>
    <t>a. Pekerjaan Pasangan Dinding Bata Ringan T : 7,5 cm</t>
  </si>
  <si>
    <t xml:space="preserve">b. Pekerjaan Plesteran dan Acian </t>
  </si>
  <si>
    <t>c. Pekerjaan Dinding Panel Ex Depanel T : 10 cm</t>
  </si>
  <si>
    <t>a. Pekerjaan Dinding Panel Ex Depanel T : 10 cm</t>
  </si>
  <si>
    <t>b. Pekerjaan Pasangan dinding Bata Ringan</t>
  </si>
  <si>
    <t xml:space="preserve">c. Pekerjaan Plesteran dan Acian </t>
  </si>
  <si>
    <t>SUB TOTAL C.II PEKERJAAN FINISH PASANGAN LANTAI</t>
  </si>
  <si>
    <t>PEKERJAAN PLAFOND</t>
  </si>
  <si>
    <t>a. Rangka Plafond (Hollow Baja Ringan 40 x 40 mm)</t>
  </si>
  <si>
    <t>b. Penutup Plafond (Gypsum board T = 8 mm)</t>
  </si>
  <si>
    <t>c. List Plafond Gypsum</t>
  </si>
  <si>
    <t xml:space="preserve">b. Penutup Plafond (Gypsum board T = 8 mm) </t>
  </si>
  <si>
    <t>d. List Plafond Gypsum</t>
  </si>
  <si>
    <t>SUB TOTAL C.III PEKERJAAN PLAFOND</t>
  </si>
  <si>
    <t>IV</t>
  </si>
  <si>
    <t>PEKERJAAN PENUTUP ATAP</t>
  </si>
  <si>
    <t>Pemasangan Rangka Atap Spandek (Baja Ringan C 0.75 mm)</t>
  </si>
  <si>
    <t>Pemasangan Rangka Atap Solar Tuff (Hollow 100.50.2,3)</t>
  </si>
  <si>
    <t>Pemasangan Peredam Panas Aluminium Foil</t>
  </si>
  <si>
    <t>Penutup Atap Zincalume 0,45 Motif pasir</t>
  </si>
  <si>
    <t>Penutup Nok Atap Zincalume Motif Pasir</t>
  </si>
  <si>
    <t>Penutup Atap Solar Tuff</t>
  </si>
  <si>
    <t>Pekerjaan Pemasangan Listplank Wood Plank 2/30</t>
  </si>
  <si>
    <t>SUB TOTAL C.IV PEKERJAAN PENUTUP ATAP</t>
  </si>
  <si>
    <t>V</t>
  </si>
  <si>
    <t>PEKERJAAN PINTU &amp; JENDELA</t>
  </si>
  <si>
    <t>a. Pintu 2 Daun Rangka Kusen Aluminium Isian Kaca Rayben Ukuran 1.88  x 2.45 m dan Jendela 2 Uk 1 x 2.45m (P1)</t>
  </si>
  <si>
    <t>b. Pintu 2 Daun Rangka Kusen Aluminium Isian Kaca Rayben Ukuran 1.88  x 2.45 m dan Jendela 1 Uk 1 x 2.45m (P2)</t>
  </si>
  <si>
    <t>c. Pintu 2 Daun Rangka Kusen Aluminium Isian Kaca Rayben Ukuran 1.88 x 2.45 m (P3)</t>
  </si>
  <si>
    <t>d. Pintu 1 Daun Rangka Kusen Aluminium Isian Kaca Rayben Ukuran 0.98  x 2.45 m dan Jendela 2 Uk 1 x 2.45m (P4)</t>
  </si>
  <si>
    <t>e. Pintu 1 Daun Rangka Kusen Aluminium Isian Kaca Rayben Ukuran 0.98  x 2.45 m dan Jendela 1 Uk 1 x 2.45m (P5)</t>
  </si>
  <si>
    <t>f. Pintu 1 Daun Rangka Kusen Aluminium Isian Kaca Rayben Ukuran 0.98  x 2.45 m (P6)</t>
  </si>
  <si>
    <t>g. Pintu 1 Daun Uk 0.81 x 2.1 m Pintu UPVC area kamar mandi (P7)</t>
  </si>
  <si>
    <t>h. Jendela 4 Daun Ukuran 1.04 x 2.4 m Kusen Aluminium (J1)</t>
  </si>
  <si>
    <t>i. Jendela 3 Daun Ukuran 1.04 x 2.4 m Kusen Aluminium (J2)</t>
  </si>
  <si>
    <t>j. Jendela 2 Daun Ukuran 0,82 x 2.4 m Kusen Aluminium (J3)</t>
  </si>
  <si>
    <t>k. Jendela 6 Daun Ukuran 1.04 x 1.4 m Kusen Aluminium (J4)</t>
  </si>
  <si>
    <t>l. Bouvenlight Fasad model Kisi kisi Aluminium Uk 900 x 500 mm (BV)</t>
  </si>
  <si>
    <t>b. Pintu 2 Daun Rangka Kusen Aluminium Isian Kaca Rayben Ukuran 1.88 x 2.45 m (P3)</t>
  </si>
  <si>
    <t>c. Pintu 1 Daun Rangka Kusen Aluminium Isian Kaca Rayben Ukuran 0.98  x 2.45 m (P6)</t>
  </si>
  <si>
    <t>d. Jendela 3 Daun Ukuran 1.04 x 2.4 m Kusen Aluminium (J2)</t>
  </si>
  <si>
    <t>e. Jendela 2 Daun Ukuran 0,82 x 2.4 m Kusen Aluminium (J3)</t>
  </si>
  <si>
    <t>f. Jendela 6 Daun Ukuran 1.04 x 1.4 m Kusen Aluminium (J4)</t>
  </si>
  <si>
    <t>g. Jendela 6 Daun Ukuran 1.04 x 2.4 m Kusen Aluminium (J5)</t>
  </si>
  <si>
    <t>SUB TOTAL C.V PEKERJAAN PINTU &amp; JENDELA</t>
  </si>
  <si>
    <t>VI</t>
  </si>
  <si>
    <t>PEKERJAAN FINISH PENGECATAN</t>
  </si>
  <si>
    <t>Pekerjaan Wall Alkali Sealer</t>
  </si>
  <si>
    <t>Pekerjaan Cat Dinding Interior Ex Dulux Catylac (Natural White)</t>
  </si>
  <si>
    <t>Pekerjaan Cat Dinding Eksterior Ex Dulux Weathershield (Natural White)</t>
  </si>
  <si>
    <t>Pekerjaan Cat Plafond Ex Dulux Catylac (Natural White)</t>
  </si>
  <si>
    <t>Pekerjaan Cat Lisplank</t>
  </si>
  <si>
    <t>SUB TOTAL C.VI PEKERJAAN FINISH PENGECATAN</t>
  </si>
  <si>
    <t>VII</t>
  </si>
  <si>
    <t>PEKERJAAN LAIN LAIN</t>
  </si>
  <si>
    <t>Pekerjaan Fasad Lobby Menggunakan Conwood</t>
  </si>
  <si>
    <t>a. Pekerjaan Pemasangan Rangka Hollow Galvanis 40 x 40 x 4 mm</t>
  </si>
  <si>
    <t xml:space="preserve">b. Pekerjaan Pemasangan Conwood </t>
  </si>
  <si>
    <t>Pekerjaan Fasad Lobby  Dinding Panel  Lapis WPC Motif Kayu</t>
  </si>
  <si>
    <t>b. Pekerjaan Pemasangan Dinding  Panel Thick 7,5 cm</t>
  </si>
  <si>
    <t>c. Pekerjaan Pemasangan WPC Motif Kayu</t>
  </si>
  <si>
    <t>Pekerjaan Fasad Lobby  Dinding Panel Thick 7,5 cm  Fin. Cat Dulux (Dark Grey)</t>
  </si>
  <si>
    <t>a. Pekerjaan Pemasangan Rangka Hollo Galvanis 40 x 40 x 4 mm</t>
  </si>
  <si>
    <t>c. Pekerjaan Pengecetan Cat Dulux Interior (Dark Grey)</t>
  </si>
  <si>
    <t>Pekerjaan Pemasangan Aluminium Composite  Kolom Kanopi Lobby</t>
  </si>
  <si>
    <t>a. Pekerjaan Rangka Taso Baja Ringan 20x40</t>
  </si>
  <si>
    <t>b. Pekerjaan Aluminium Composite Panel</t>
  </si>
  <si>
    <t>Pekerjaan Fasad Depan Balkon Lt.2  Fin. Cat Dulux Weathershield (Dark Gray)</t>
  </si>
  <si>
    <t xml:space="preserve">b. Pekerjaan Pemasangan Kalsiboard 6 mm </t>
  </si>
  <si>
    <t>c. Pekerjaan Pengecetan Cat Dulux Weathershield (Dark Grey)</t>
  </si>
  <si>
    <t>Pekerjaan Fasad Lt.2 (Logo Synergy To Be No.1)  Fin. Cat Dulux Weathershield (Dark Gray)</t>
  </si>
  <si>
    <t>Pekerjaan Drainase Keliling  bangunan</t>
  </si>
  <si>
    <t xml:space="preserve">a. Pekerjaan Galian Tanah </t>
  </si>
  <si>
    <t xml:space="preserve">b. Pekerjaan Pasangan Bata Ringan </t>
  </si>
  <si>
    <t>c. Pekerjaan Rabat Beton Dasar Paritan</t>
  </si>
  <si>
    <t>d. Pekerjaan Plesteran Bata Ringan</t>
  </si>
  <si>
    <t>e. Pekerjaan Acian Bata Ringan</t>
  </si>
  <si>
    <t>Pekerjaan Gutter Grill + Finish Pengecatan</t>
  </si>
  <si>
    <t>a. Perkerjaan Rangka Siku L 50 x 50 x 5 mm</t>
  </si>
  <si>
    <t>b. Pekerjaan Besi Gutter D12</t>
  </si>
  <si>
    <t>c. Pekerjaan Finish Cat Waterproof</t>
  </si>
  <si>
    <t>Letter Sign Logo SYNERGY TO BE NO.1</t>
  </si>
  <si>
    <t>Letter Sign Logo AMM LED</t>
  </si>
  <si>
    <t>SUB TOTAL C.VII PEKERJAAN LAIN LAIN</t>
  </si>
  <si>
    <t>D</t>
  </si>
  <si>
    <t>PEKERJAAN MEKANIKAL, ELEKTRIKAL, PLUMBING (MEP)</t>
  </si>
  <si>
    <t>PEKERJAAN PLUMBING SANITARY</t>
  </si>
  <si>
    <t>Plumbing Air Bersih</t>
  </si>
  <si>
    <t>a. Supply dan Install Pipa Air Bersih PVC 1/2" + Assesoris</t>
  </si>
  <si>
    <t>b. Supply dan Install Pipa Air Bersih PVC 3/4" + Assesoris</t>
  </si>
  <si>
    <t>Plumbing Air Kotor</t>
  </si>
  <si>
    <t>a. Supply dan Install Pipa Air Kotor PVC 3" + Assesoris</t>
  </si>
  <si>
    <t>b. Supply dan Install Pipa Air Kotor PVC 4" + Assesoris</t>
  </si>
  <si>
    <t>Plumbing Air Hujan</t>
  </si>
  <si>
    <t>a. Supply dan Install Pipa Air Hujan PVC 3" + Assesoris</t>
  </si>
  <si>
    <t>b. Supply &amp; Instal Roof Drain 3"</t>
  </si>
  <si>
    <t>buah</t>
  </si>
  <si>
    <t>Supply &amp; Install Closet duduk Ex. Toto, American Standart + Jet Washer</t>
  </si>
  <si>
    <t>Supply &amp; Install Wastafel Ex. Toto, American Standart + Kran Air wastafel</t>
  </si>
  <si>
    <t>Supply &amp; Install  Keran air  ex. Onda / setara lengkap dengan aksesoris lainnya</t>
  </si>
  <si>
    <t>Supply &amp; Install  Urinoir Ex American Standart, toto setara lengkap dengan aksesoris lainnya</t>
  </si>
  <si>
    <t>Supply &amp; Install Floor drain lengkap dengan aksesoris lainnya</t>
  </si>
  <si>
    <t>Supply &amp; Install Booster CMBE 5-62 Groundfos Pompa</t>
  </si>
  <si>
    <t>Supply &amp; Install Tandon Air Kapasitas 1000 L</t>
  </si>
  <si>
    <t>Pekerjaan Septict Biofilter (STP Biofilter)</t>
  </si>
  <si>
    <t>a. Pekerjaan Galian Tanah Septict Biofilter</t>
  </si>
  <si>
    <t xml:space="preserve">b. Pekerjaan Pasangan Dinding Bata Ringan </t>
  </si>
  <si>
    <t>c. Pekerjaan Plesteran Dinding Bata Ringan</t>
  </si>
  <si>
    <t>d. Pekerjaan Acian Dinding Bata Ringan</t>
  </si>
  <si>
    <t xml:space="preserve">e. Pekerjaan Urugan Pasir dibawah lantai kerja </t>
  </si>
  <si>
    <t>f. Pekerjaan Lantai Kerja Tebal 5 cm</t>
  </si>
  <si>
    <t>g. Pekerjaan Pengecatan Waterproofing</t>
  </si>
  <si>
    <t>h. Pekerjaan Pemasangan Septict Biofilter STP Kapasitas 3 m3</t>
  </si>
  <si>
    <t>Pekerjaan Pembuatan Bak Kontrol Uk 60x60x50 cm</t>
  </si>
  <si>
    <t>a. Pekerjaan Galian Tanah Penampungan Air Bekas</t>
  </si>
  <si>
    <t>b. Pekerjaan Pembesian Tulangan 10P</t>
  </si>
  <si>
    <t>c. Pekerjaan Bekisting</t>
  </si>
  <si>
    <t xml:space="preserve">d. Pekerjaan Pengecoran </t>
  </si>
  <si>
    <t>e. Pekerjaan Pengecatan Waterproofing</t>
  </si>
  <si>
    <t>SUB TOTAL D.I PEKERJAAN PLUMBING SANITARY</t>
  </si>
  <si>
    <t>PEKERJAAN MEKANIKAL &amp; ELEKTRIKAL</t>
  </si>
  <si>
    <t>Supply &amp; Install Panel Utama LVDMP (380/220V, 3PH, 50Hz)</t>
  </si>
  <si>
    <t>a. Pekerjaan box panel induk utama lengkap tombol emergency &amp; kaca mika (utama) + Assesoris</t>
  </si>
  <si>
    <t xml:space="preserve">b. Pekerjaan Pemasangan MCCB 3 Phase 180A/6KA </t>
  </si>
  <si>
    <t xml:space="preserve">c. Pekerjaan Pemasangan MCB 6A </t>
  </si>
  <si>
    <t xml:space="preserve">d. Pekerjaan Pemasangan MCB 10A </t>
  </si>
  <si>
    <t xml:space="preserve">e. Pekerjaan Pemasangan MCB 16A </t>
  </si>
  <si>
    <t xml:space="preserve">f. Pekerjaan Pemasangan MCB 20A </t>
  </si>
  <si>
    <t xml:space="preserve">g. Pekerjaan Pemasangan MCB 32A </t>
  </si>
  <si>
    <t>Supply &amp; Install MCB Box 12 G (Inc. MCB)</t>
  </si>
  <si>
    <t>Supply &amp; Install Lampu Armature Downlight Lampu 14 Watt ex Philips</t>
  </si>
  <si>
    <t>titik</t>
  </si>
  <si>
    <t>Supply &amp; Install Lampu Armature Downlight Lampu 18 Watt ex Philips</t>
  </si>
  <si>
    <t>Supply &amp; Install Lampu Armature Downlight Lampu 24 Watt ex Philips</t>
  </si>
  <si>
    <t>Supply &amp; Install Lampu Led Strip 5 Watt Warm White</t>
  </si>
  <si>
    <t xml:space="preserve">Supply &amp; Install Saklar Type Clipsal E31/1/2A inbow 1 Way switch 1 Gang </t>
  </si>
  <si>
    <t xml:space="preserve">Supply &amp; Install Saklar Type Clipsal E31/1/2A inbow 1 Way switch 2 Gang </t>
  </si>
  <si>
    <t>Supply &amp; Install General Power Off E426/16S in Bow Clipsal type</t>
  </si>
  <si>
    <t>Supply &amp; Install General Power Outlet Pop Up</t>
  </si>
  <si>
    <t>Supply &amp; Install General Power Outlet  AC E15N Clipsal type</t>
  </si>
  <si>
    <t>Supply &amp; Install AC Split 1/2 Pk Ex Panasonic</t>
  </si>
  <si>
    <t>Supply &amp; Install AC Split 3/4 Pk Ex Panasonic</t>
  </si>
  <si>
    <t>Supply &amp; Install AC Split 1 Pk Ex Panasonic</t>
  </si>
  <si>
    <t>Supply &amp; Install AC Split 2 Pk Ex Panasonic</t>
  </si>
  <si>
    <t>Supply &amp; Install AC Cassete 2PK</t>
  </si>
  <si>
    <t>Supply &amp; Install AC Cassete 3PK</t>
  </si>
  <si>
    <t>Supply &amp; Install AC Cassete 5PK</t>
  </si>
  <si>
    <t>Instalasi Kabel Listrik elektrikal + Conduit 20 mm</t>
  </si>
  <si>
    <t>a. Power kabel NYM size 3 x 2,5 mm2 @ 100 m/roll (Eterna)</t>
  </si>
  <si>
    <t>b. Power kabel NYM size 3 x 1,5 mm2 @ 100 m/roll (Eterna)</t>
  </si>
  <si>
    <t>c. Power kabel NYM size 2 x 1,5 mm2 @ 100 m/roll (Eterna)</t>
  </si>
  <si>
    <t>Grounding Panel Listrik</t>
  </si>
  <si>
    <t>Pekerjaan Penyalur Petir</t>
  </si>
  <si>
    <t>SUB TOTAL D.II PEKERJAAN MEKANIKAL &amp; ELEKTRIKAL</t>
  </si>
  <si>
    <t>TOTAL</t>
  </si>
  <si>
    <t xml:space="preserve">GRAND TOTAL </t>
  </si>
  <si>
    <t>Keterangan</t>
  </si>
  <si>
    <t>c. Pasangan Batu Kosong t.30 cm - Aanstamping</t>
  </si>
  <si>
    <t>batang</t>
  </si>
  <si>
    <t>d. Penutup Plafond (Kalsiboard 3,5mm)</t>
  </si>
  <si>
    <t>e. List Plafond Kalsiboard</t>
  </si>
  <si>
    <t>Unit</t>
  </si>
  <si>
    <t>h. Pekerjaan pemasangan RCBO 16A</t>
  </si>
  <si>
    <t>ls</t>
  </si>
  <si>
    <t>Supply &amp; Install Lampu Emergency Twin</t>
  </si>
  <si>
    <t>Supply &amp; Install Exit</t>
  </si>
  <si>
    <t>i. lain-lain (contactor, CT, SA, pilot lamp dll)</t>
  </si>
  <si>
    <t>Titik</t>
  </si>
  <si>
    <t>VOL. PJM</t>
  </si>
  <si>
    <t>DIBULATKAN</t>
  </si>
  <si>
    <t>PT. Prohaba Jaya Mandiri</t>
  </si>
  <si>
    <t>Muhammad Yuda</t>
  </si>
  <si>
    <t>Direktur</t>
  </si>
  <si>
    <t>c. Material</t>
  </si>
  <si>
    <t>c. Safety net</t>
  </si>
  <si>
    <t>PT PROHABA JAYA MANDIRI</t>
  </si>
  <si>
    <t>Jl. MT. Haryono Komplek Tamansari Bukit Mutiara ( WIKA )</t>
  </si>
  <si>
    <t>Blok A1 No.9 Balikpapan Kalimantan Timur</t>
  </si>
  <si>
    <t>Telp.0542 873295 Fax. 0542 873295</t>
  </si>
  <si>
    <t>Email : administration@prohabagroup.co.id</t>
  </si>
  <si>
    <t>Support by exca AMM</t>
  </si>
  <si>
    <t>PT. ANTAREJA MAHADA MAKMUR</t>
  </si>
  <si>
    <t>a. Pekerjaan Pembesian Tulangan Pokok  4D12 mm</t>
  </si>
  <si>
    <t>PPN 12%</t>
  </si>
  <si>
    <t>1.</t>
  </si>
  <si>
    <t>Berdasarkan Konfirmasi Harga untuk diskusi Prelim menggunakan Volume dr AMM di dapatkan Prelim Total di Rp 692.500.000,00-</t>
  </si>
  <si>
    <t>dengan pertimbangan beberapa Aset yang terbangun masih bisa di akomodir untuk difungsikan di project Main Office</t>
  </si>
  <si>
    <t>2.</t>
  </si>
  <si>
    <t>Harga Penawaran Konfirmasi menggunakan Harga final SPH III Final terakhir dari Tim PJM Kecuali koreksi Harga di Kayu Ulin</t>
  </si>
  <si>
    <t>dengan nominal bahan tereduce mengacu penawaran beberapa project sbelumnya dengan penyesuaian harga.</t>
  </si>
  <si>
    <t>Volume Tercantum sudah menyesuaikan yang terakomodir berdasarkan negosiasi konfirmasi Volume Pada Meeting Tanggal 05 April 2026</t>
  </si>
  <si>
    <t>SCM Civil dan Mitra Kerja</t>
  </si>
  <si>
    <t>4.</t>
  </si>
  <si>
    <t xml:space="preserve">Volume Note yang sudah disampaikan berdasarkan BAHT sudah terakomodir kedalam volume penawaran </t>
  </si>
  <si>
    <t>5.</t>
  </si>
  <si>
    <t>Final Account akan dilksanakan sebagai pertanggung jawaban atas project yang telah dilaksanakan dari SCM Civil dan Mitra Kerja.</t>
  </si>
  <si>
    <t>b. Fire Protection</t>
  </si>
  <si>
    <t>Balikpapan, 6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</si>
</sst>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Rp&quot;* #,##0.00_-;\-&quot;Rp&quot;* #,##0.00_-;_-&quot;Rp&quot;* &quot;-&quot;??_-;_-@_-"/>
    <numFmt numFmtId="165" formatCode="[$Rp]\ #,##0.00" x16r2:formatCode16="[$Rp-jv-Java-ID]\ #,##0.00"/>
    <numFmt numFmtId="166" formatCode="_-[$Rp-3809]* #,##0.00_-;\-[$Rp-3809]* #,##0.00_-;_-[$Rp-3809]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9"/>
      <color rgb="FFFF0000"/>
      <name val="Aptos Display"/>
      <family val="2"/>
      <scheme val="major"/>
    </font>
    <font>
      <sz val="9"/>
      <color theme="3" tint="0.3999755851924192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</cellStyleXfs>
  <cellXfs count="2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3" fillId="0" borderId="2" xfId="0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66" fontId="0" fillId="4" borderId="2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166" fontId="0" fillId="0" borderId="2" xfId="1" applyNumberFormat="1" applyFont="1" applyBorder="1" applyAlignment="1">
      <alignment vertical="center"/>
    </xf>
    <xf numFmtId="0" fontId="5" fillId="0" borderId="2" xfId="2" applyFont="1" applyBorder="1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3" fillId="0" borderId="2" xfId="1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6" fontId="0" fillId="0" borderId="0" xfId="0" applyNumberFormat="1"/>
    <xf numFmtId="166" fontId="7" fillId="0" borderId="2" xfId="1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2" fontId="0" fillId="0" borderId="2" xfId="4" applyNumberFormat="1" applyFon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/>
    <xf numFmtId="0" fontId="0" fillId="0" borderId="2" xfId="0" applyBorder="1"/>
    <xf numFmtId="164" fontId="3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10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6" fontId="0" fillId="4" borderId="6" xfId="0" applyNumberFormat="1" applyFill="1" applyBorder="1" applyAlignment="1">
      <alignment vertical="center"/>
    </xf>
    <xf numFmtId="4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4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13" xfId="3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6" fontId="0" fillId="4" borderId="5" xfId="0" applyNumberForma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2" fontId="7" fillId="0" borderId="12" xfId="0" applyNumberFormat="1" applyFont="1" applyBorder="1" applyAlignment="1">
      <alignment horizontal="center" vertical="center"/>
    </xf>
    <xf numFmtId="2" fontId="3" fillId="4" borderId="7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2" fontId="10" fillId="4" borderId="7" xfId="0" applyNumberFormat="1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4" fontId="10" fillId="0" borderId="7" xfId="0" applyNumberFormat="1" applyFont="1" applyBorder="1" applyAlignment="1">
      <alignment horizontal="center" vertical="center"/>
    </xf>
    <xf numFmtId="0" fontId="10" fillId="4" borderId="2" xfId="0" applyFont="1" applyFill="1" applyBorder="1"/>
    <xf numFmtId="0" fontId="10" fillId="4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3" fontId="0" fillId="0" borderId="0" xfId="5" applyFont="1" applyAlignment="1">
      <alignment horizontal="center" vertical="center"/>
    </xf>
    <xf numFmtId="0" fontId="0" fillId="0" borderId="0" xfId="0" applyAlignment="1">
      <alignment horizontal="right" vertical="center"/>
    </xf>
    <xf numFmtId="10" fontId="8" fillId="0" borderId="0" xfId="6" applyNumberFormat="1" applyFont="1" applyAlignment="1">
      <alignment horizontal="left" vertical="center"/>
    </xf>
    <xf numFmtId="0" fontId="8" fillId="0" borderId="0" xfId="7" applyFont="1" applyAlignment="1">
      <alignment horizontal="center" vertical="center"/>
    </xf>
    <xf numFmtId="164" fontId="2" fillId="2" borderId="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43" fontId="0" fillId="0" borderId="0" xfId="5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indent="10"/>
    </xf>
    <xf numFmtId="0" fontId="13" fillId="0" borderId="0" xfId="0" applyFont="1" applyAlignment="1">
      <alignment horizontal="left" vertical="center" indent="10"/>
    </xf>
    <xf numFmtId="0" fontId="13" fillId="0" borderId="0" xfId="8" applyFont="1" applyAlignment="1" applyProtection="1">
      <alignment horizontal="left" vertical="center" indent="10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4" xfId="0" applyFont="1" applyFill="1" applyBorder="1" applyAlignment="1">
      <alignment horizontal="center" vertical="center"/>
    </xf>
    <xf numFmtId="166" fontId="3" fillId="0" borderId="5" xfId="1" applyNumberFormat="1" applyFont="1" applyBorder="1" applyAlignment="1">
      <alignment vertical="center"/>
    </xf>
    <xf numFmtId="2" fontId="0" fillId="0" borderId="6" xfId="4" applyNumberFormat="1" applyFont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166" fontId="3" fillId="0" borderId="16" xfId="1" applyNumberFormat="1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4" fontId="17" fillId="0" borderId="7" xfId="0" applyNumberFormat="1" applyFont="1" applyBorder="1" applyAlignment="1">
      <alignment horizontal="center" vertical="center"/>
    </xf>
    <xf numFmtId="0" fontId="17" fillId="0" borderId="11" xfId="3" applyFont="1" applyBorder="1" applyAlignment="1">
      <alignment horizontal="center" vertical="center"/>
    </xf>
    <xf numFmtId="2" fontId="17" fillId="4" borderId="2" xfId="9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4" fontId="0" fillId="0" borderId="8" xfId="0" applyNumberForma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2" fontId="19" fillId="0" borderId="7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2" fontId="18" fillId="4" borderId="2" xfId="9" applyNumberFormat="1" applyFont="1" applyFill="1" applyBorder="1" applyAlignment="1">
      <alignment vertical="center"/>
    </xf>
    <xf numFmtId="166" fontId="16" fillId="4" borderId="2" xfId="0" applyNumberFormat="1" applyFont="1" applyFill="1" applyBorder="1" applyAlignment="1">
      <alignment vertical="center"/>
    </xf>
    <xf numFmtId="166" fontId="16" fillId="0" borderId="2" xfId="1" applyNumberFormat="1" applyFont="1" applyBorder="1" applyAlignment="1">
      <alignment vertical="center"/>
    </xf>
    <xf numFmtId="2" fontId="16" fillId="4" borderId="2" xfId="9" applyNumberFormat="1" applyFont="1" applyFill="1" applyBorder="1" applyAlignment="1">
      <alignment vertical="center"/>
    </xf>
    <xf numFmtId="166" fontId="10" fillId="4" borderId="2" xfId="0" applyNumberFormat="1" applyFont="1" applyFill="1" applyBorder="1" applyAlignment="1">
      <alignment vertical="center"/>
    </xf>
    <xf numFmtId="2" fontId="17" fillId="0" borderId="7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18" fillId="0" borderId="7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" fontId="3" fillId="0" borderId="14" xfId="0" applyNumberFormat="1" applyFont="1" applyBorder="1" applyAlignment="1">
      <alignment horizontal="center" vertical="center"/>
    </xf>
    <xf numFmtId="4" fontId="3" fillId="0" borderId="20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18" fillId="0" borderId="11" xfId="3" applyFont="1" applyBorder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4" fontId="0" fillId="0" borderId="14" xfId="0" applyNumberForma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16" fillId="4" borderId="2" xfId="9" applyFont="1" applyFill="1" applyBorder="1" applyAlignment="1">
      <alignment horizontal="left" vertical="center"/>
    </xf>
    <xf numFmtId="2" fontId="16" fillId="4" borderId="7" xfId="9" applyNumberFormat="1" applyFont="1" applyFill="1" applyBorder="1" applyAlignment="1">
      <alignment horizontal="center" vertical="center"/>
    </xf>
    <xf numFmtId="0" fontId="16" fillId="4" borderId="11" xfId="9" applyFont="1" applyFill="1" applyBorder="1" applyAlignment="1">
      <alignment horizontal="center" vertical="center"/>
    </xf>
    <xf numFmtId="166" fontId="16" fillId="4" borderId="5" xfId="9" applyNumberFormat="1" applyFont="1" applyFill="1" applyBorder="1" applyAlignment="1">
      <alignment vertical="center"/>
    </xf>
    <xf numFmtId="166" fontId="16" fillId="4" borderId="2" xfId="9" applyNumberFormat="1" applyFont="1" applyFill="1" applyBorder="1" applyAlignment="1">
      <alignment vertical="center"/>
    </xf>
    <xf numFmtId="0" fontId="15" fillId="4" borderId="0" xfId="9" applyFill="1"/>
    <xf numFmtId="2" fontId="16" fillId="4" borderId="12" xfId="9" applyNumberFormat="1" applyFont="1" applyFill="1" applyBorder="1" applyAlignment="1">
      <alignment horizontal="center" vertical="center"/>
    </xf>
    <xf numFmtId="0" fontId="16" fillId="4" borderId="13" xfId="9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3" fillId="4" borderId="9" xfId="0" applyNumberFormat="1" applyFont="1" applyFill="1" applyBorder="1" applyAlignment="1">
      <alignment horizontal="center" vertical="center"/>
    </xf>
    <xf numFmtId="0" fontId="18" fillId="4" borderId="2" xfId="0" applyFont="1" applyFill="1" applyBorder="1"/>
    <xf numFmtId="2" fontId="18" fillId="4" borderId="7" xfId="0" applyNumberFormat="1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8" fillId="4" borderId="8" xfId="0" applyFont="1" applyFill="1" applyBorder="1"/>
    <xf numFmtId="2" fontId="18" fillId="4" borderId="12" xfId="0" applyNumberFormat="1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0" fontId="3" fillId="4" borderId="14" xfId="0" applyFont="1" applyFill="1" applyBorder="1"/>
    <xf numFmtId="0" fontId="3" fillId="4" borderId="20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18" fillId="4" borderId="2" xfId="0" applyFont="1" applyFill="1" applyBorder="1" applyAlignment="1">
      <alignment horizontal="left" vertical="center"/>
    </xf>
    <xf numFmtId="2" fontId="18" fillId="4" borderId="9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166" fontId="16" fillId="4" borderId="6" xfId="0" applyNumberFormat="1" applyFont="1" applyFill="1" applyBorder="1" applyAlignment="1">
      <alignment vertical="center"/>
    </xf>
    <xf numFmtId="0" fontId="18" fillId="0" borderId="2" xfId="0" applyFont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/>
    </xf>
    <xf numFmtId="0" fontId="18" fillId="0" borderId="2" xfId="0" applyFont="1" applyBorder="1"/>
    <xf numFmtId="0" fontId="16" fillId="4" borderId="2" xfId="0" applyFont="1" applyFill="1" applyBorder="1" applyAlignment="1">
      <alignment wrapText="1"/>
    </xf>
    <xf numFmtId="4" fontId="16" fillId="0" borderId="7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8" fillId="4" borderId="2" xfId="0" applyFont="1" applyFill="1" applyBorder="1" applyAlignment="1">
      <alignment vertical="center"/>
    </xf>
    <xf numFmtId="0" fontId="18" fillId="4" borderId="8" xfId="0" applyFont="1" applyFill="1" applyBorder="1" applyAlignment="1">
      <alignment vertical="center"/>
    </xf>
    <xf numFmtId="0" fontId="18" fillId="0" borderId="22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165" fontId="21" fillId="0" borderId="0" xfId="0" applyNumberFormat="1" applyFont="1"/>
    <xf numFmtId="0" fontId="22" fillId="0" borderId="0" xfId="0" applyFont="1" applyAlignment="1">
      <alignment vertical="center"/>
    </xf>
    <xf numFmtId="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6" fontId="0" fillId="4" borderId="7" xfId="0" applyNumberFormat="1" applyFill="1" applyBorder="1" applyAlignment="1">
      <alignment vertical="center"/>
    </xf>
    <xf numFmtId="166" fontId="16" fillId="4" borderId="7" xfId="9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4" fontId="2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0">
    <cellStyle name="Bad" xfId="9" builtinId="27"/>
    <cellStyle name="Comma" xfId="5" builtinId="3"/>
    <cellStyle name="Comma 2" xfId="4" xr:uid="{F557315E-4667-4AED-914F-D5F26F4393F9}"/>
    <cellStyle name="Currency 2" xfId="1" xr:uid="{50C37900-CE3E-4CB2-A99D-6A48FF4922B0}"/>
    <cellStyle name="Hyperlink" xfId="8" builtinId="8"/>
    <cellStyle name="Normal" xfId="0" builtinId="0"/>
    <cellStyle name="Normal 2" xfId="3" xr:uid="{070A0785-6C4B-4218-83BB-10B12077D636}"/>
    <cellStyle name="Normal 2 2" xfId="2" xr:uid="{E1536723-9E44-4CC5-8CF6-9BD478457D3F}"/>
    <cellStyle name="Normal 3" xfId="7" xr:uid="{497FBCD0-4CC4-4C63-A73C-C56D0B62C6AD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640080</xdr:colOff>
      <xdr:row>4</xdr:row>
      <xdr:rowOff>152400</xdr:rowOff>
    </xdr:to>
    <xdr:pic>
      <xdr:nvPicPr>
        <xdr:cNvPr id="2" name="Picture 1" descr="C:\Users\LENOVO\Pictures\PROHABA JAYA MANDIRI 2.jpg">
          <a:extLst>
            <a:ext uri="{FF2B5EF4-FFF2-40B4-BE49-F238E27FC236}">
              <a16:creationId xmlns:a16="http://schemas.microsoft.com/office/drawing/2014/main" id="{F40BD524-8BFB-42BC-8DA8-BA0AC97F7308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031"/>
        <a:stretch/>
      </xdr:blipFill>
      <xdr:spPr bwMode="auto">
        <a:xfrm>
          <a:off x="0" y="19050"/>
          <a:ext cx="906780" cy="8648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C205-C244-453C-82C9-B902F1660155}">
  <sheetPr>
    <pageSetUpPr fitToPage="1"/>
  </sheetPr>
  <dimension ref="A1:M396"/>
  <sheetViews>
    <sheetView tabSelected="1" topLeftCell="A17" zoomScale="70" zoomScaleNormal="70" workbookViewId="0">
      <selection activeCell="N10" sqref="N10"/>
    </sheetView>
  </sheetViews>
  <sheetFormatPr defaultRowHeight="14.4" x14ac:dyDescent="0.3"/>
  <cols>
    <col min="1" max="1" width="3.88671875" style="1" bestFit="1" customWidth="1"/>
    <col min="2" max="2" width="85.33203125" customWidth="1"/>
    <col min="3" max="3" width="10.44140625" style="187" bestFit="1" customWidth="1"/>
    <col min="4" max="4" width="7.88671875" style="188" bestFit="1" customWidth="1"/>
    <col min="5" max="5" width="17.21875" style="185" customWidth="1"/>
    <col min="6" max="6" width="17.21875" style="185" bestFit="1" customWidth="1"/>
    <col min="7" max="8" width="18.33203125" style="185" bestFit="1" customWidth="1"/>
    <col min="9" max="9" width="21.21875" bestFit="1" customWidth="1"/>
    <col min="10" max="10" width="18.5546875" style="2" bestFit="1" customWidth="1"/>
    <col min="11" max="11" width="7.6640625" customWidth="1"/>
    <col min="12" max="12" width="16.109375" bestFit="1" customWidth="1"/>
    <col min="13" max="13" width="13.88671875" bestFit="1" customWidth="1"/>
  </cols>
  <sheetData>
    <row r="1" spans="1:13" ht="14.55" customHeight="1" x14ac:dyDescent="0.3">
      <c r="A1" s="87"/>
      <c r="B1" s="88" t="s">
        <v>353</v>
      </c>
      <c r="C1" s="1"/>
      <c r="D1"/>
      <c r="E1"/>
      <c r="F1"/>
      <c r="G1"/>
      <c r="H1"/>
      <c r="I1" s="2"/>
      <c r="J1"/>
    </row>
    <row r="2" spans="1:13" ht="14.55" customHeight="1" x14ac:dyDescent="0.3">
      <c r="A2" s="87"/>
      <c r="B2" s="89" t="s">
        <v>354</v>
      </c>
      <c r="C2" s="1"/>
      <c r="D2"/>
      <c r="E2"/>
      <c r="F2"/>
      <c r="G2"/>
      <c r="H2"/>
      <c r="I2" s="2"/>
      <c r="J2"/>
    </row>
    <row r="3" spans="1:13" ht="14.55" customHeight="1" x14ac:dyDescent="0.3">
      <c r="A3" s="87"/>
      <c r="B3" s="89" t="s">
        <v>355</v>
      </c>
      <c r="C3" s="1"/>
      <c r="D3"/>
      <c r="E3"/>
      <c r="F3"/>
      <c r="G3"/>
      <c r="H3"/>
      <c r="I3" s="2"/>
      <c r="J3"/>
    </row>
    <row r="4" spans="1:13" ht="14.55" customHeight="1" x14ac:dyDescent="0.3">
      <c r="A4" s="87"/>
      <c r="B4" s="89" t="s">
        <v>356</v>
      </c>
      <c r="C4" s="3"/>
      <c r="D4" s="4"/>
      <c r="E4" s="4"/>
      <c r="F4" s="4"/>
      <c r="G4" s="4"/>
      <c r="H4" s="4"/>
      <c r="I4" s="4"/>
      <c r="J4"/>
    </row>
    <row r="5" spans="1:13" ht="14.55" customHeight="1" x14ac:dyDescent="0.3">
      <c r="A5" s="87"/>
      <c r="B5" s="90" t="s">
        <v>357</v>
      </c>
      <c r="C5" s="1"/>
      <c r="D5"/>
      <c r="E5"/>
      <c r="F5"/>
      <c r="G5"/>
      <c r="H5"/>
      <c r="I5" s="2"/>
      <c r="J5"/>
    </row>
    <row r="6" spans="1:13" x14ac:dyDescent="0.3">
      <c r="A6" s="192" t="s">
        <v>0</v>
      </c>
      <c r="B6" s="192"/>
      <c r="C6" s="192"/>
      <c r="D6" s="192"/>
      <c r="E6" s="192"/>
      <c r="F6" s="192"/>
      <c r="G6" s="192"/>
      <c r="H6" s="192"/>
      <c r="I6" s="192"/>
      <c r="J6" s="192"/>
      <c r="K6" s="5"/>
      <c r="L6" s="5"/>
      <c r="M6" s="5"/>
    </row>
    <row r="7" spans="1:13" ht="23.25" customHeight="1" x14ac:dyDescent="0.3">
      <c r="A7" s="193" t="s">
        <v>1</v>
      </c>
      <c r="B7" s="193"/>
      <c r="C7" s="193"/>
      <c r="D7" s="193"/>
      <c r="E7" s="193"/>
      <c r="F7" s="193"/>
      <c r="G7" s="193"/>
      <c r="H7" s="193"/>
      <c r="I7" s="193"/>
      <c r="J7" s="193"/>
      <c r="K7" s="6"/>
      <c r="L7" s="6"/>
      <c r="M7" s="6"/>
    </row>
    <row r="8" spans="1:13" ht="27" customHeight="1" x14ac:dyDescent="0.3">
      <c r="A8" s="194" t="s">
        <v>359</v>
      </c>
      <c r="B8" s="195"/>
      <c r="C8" s="195"/>
      <c r="D8" s="195"/>
      <c r="E8" s="195"/>
      <c r="F8" s="195"/>
      <c r="G8" s="195"/>
      <c r="H8" s="195"/>
      <c r="I8" s="195"/>
      <c r="J8" s="196"/>
      <c r="K8" s="6"/>
      <c r="L8" s="6"/>
      <c r="M8" s="6"/>
    </row>
    <row r="9" spans="1:13" x14ac:dyDescent="0.3">
      <c r="A9" s="197" t="s">
        <v>2</v>
      </c>
      <c r="B9" s="197" t="s">
        <v>3</v>
      </c>
      <c r="C9" s="197" t="s">
        <v>346</v>
      </c>
      <c r="D9" s="197"/>
      <c r="E9" s="198" t="s">
        <v>4</v>
      </c>
      <c r="F9" s="198"/>
      <c r="G9" s="198" t="s">
        <v>5</v>
      </c>
      <c r="H9" s="198"/>
      <c r="I9" s="197" t="s">
        <v>6</v>
      </c>
      <c r="J9" s="197" t="s">
        <v>7</v>
      </c>
      <c r="K9" s="8"/>
    </row>
    <row r="10" spans="1:13" x14ac:dyDescent="0.3">
      <c r="A10" s="197"/>
      <c r="B10" s="197"/>
      <c r="C10" s="199" t="s">
        <v>8</v>
      </c>
      <c r="D10" s="197" t="s">
        <v>9</v>
      </c>
      <c r="E10" s="198"/>
      <c r="F10" s="198"/>
      <c r="G10" s="198"/>
      <c r="H10" s="198"/>
      <c r="I10" s="197"/>
      <c r="J10" s="197"/>
    </row>
    <row r="11" spans="1:13" ht="15" thickBot="1" x14ac:dyDescent="0.35">
      <c r="A11" s="197"/>
      <c r="B11" s="197"/>
      <c r="C11" s="199"/>
      <c r="D11" s="197"/>
      <c r="E11" s="7" t="s">
        <v>10</v>
      </c>
      <c r="F11" s="7" t="s">
        <v>11</v>
      </c>
      <c r="G11" s="7" t="s">
        <v>10</v>
      </c>
      <c r="H11" s="7" t="s">
        <v>11</v>
      </c>
      <c r="I11" s="197"/>
      <c r="J11" s="197"/>
    </row>
    <row r="12" spans="1:13" x14ac:dyDescent="0.3">
      <c r="A12" s="9">
        <v>1</v>
      </c>
      <c r="B12" s="9">
        <v>2</v>
      </c>
      <c r="C12" s="100">
        <v>3</v>
      </c>
      <c r="D12" s="100">
        <v>4</v>
      </c>
      <c r="E12" s="19">
        <v>5</v>
      </c>
      <c r="F12" s="9">
        <v>6</v>
      </c>
      <c r="G12" s="9">
        <v>7</v>
      </c>
      <c r="H12" s="9">
        <v>8</v>
      </c>
      <c r="I12" s="9">
        <v>9</v>
      </c>
      <c r="J12" s="9">
        <v>10</v>
      </c>
    </row>
    <row r="13" spans="1:13" x14ac:dyDescent="0.3">
      <c r="A13" s="9" t="s">
        <v>12</v>
      </c>
      <c r="B13" s="11" t="s">
        <v>13</v>
      </c>
      <c r="C13" s="49"/>
      <c r="D13" s="50"/>
      <c r="E13" s="44"/>
      <c r="F13" s="14"/>
      <c r="G13" s="14"/>
      <c r="H13" s="14"/>
      <c r="I13" s="11"/>
      <c r="J13" s="11"/>
    </row>
    <row r="14" spans="1:13" x14ac:dyDescent="0.3">
      <c r="A14" s="191">
        <v>1</v>
      </c>
      <c r="B14" s="13" t="s">
        <v>14</v>
      </c>
      <c r="C14" s="49">
        <v>1</v>
      </c>
      <c r="D14" s="51" t="s">
        <v>22</v>
      </c>
      <c r="E14" s="44"/>
      <c r="F14" s="14"/>
      <c r="G14" s="14"/>
      <c r="H14" s="14"/>
      <c r="I14" s="16"/>
      <c r="J14" s="13"/>
    </row>
    <row r="15" spans="1:13" x14ac:dyDescent="0.3">
      <c r="A15" s="191"/>
      <c r="B15" s="13" t="s">
        <v>15</v>
      </c>
      <c r="C15" s="49"/>
      <c r="D15" s="51"/>
      <c r="E15" s="44"/>
      <c r="F15" s="14"/>
      <c r="G15" s="14"/>
      <c r="H15" s="14"/>
      <c r="I15" s="16"/>
      <c r="J15" s="13"/>
    </row>
    <row r="16" spans="1:13" x14ac:dyDescent="0.3">
      <c r="A16" s="191"/>
      <c r="B16" s="17" t="s">
        <v>16</v>
      </c>
      <c r="C16" s="60">
        <v>20</v>
      </c>
      <c r="D16" s="51" t="s">
        <v>17</v>
      </c>
      <c r="E16" s="44"/>
      <c r="F16" s="14">
        <v>2000000</v>
      </c>
      <c r="G16" s="14">
        <f t="shared" ref="G16:G26" si="0">C16*E16</f>
        <v>0</v>
      </c>
      <c r="H16" s="14">
        <f t="shared" ref="H16:H26" si="1">C16*F16</f>
        <v>40000000</v>
      </c>
      <c r="I16" s="16">
        <f>G16+H16</f>
        <v>40000000</v>
      </c>
      <c r="J16" s="13"/>
    </row>
    <row r="17" spans="1:10" x14ac:dyDescent="0.3">
      <c r="A17" s="191"/>
      <c r="B17" s="17" t="s">
        <v>18</v>
      </c>
      <c r="C17" s="60">
        <v>80</v>
      </c>
      <c r="D17" s="51" t="s">
        <v>17</v>
      </c>
      <c r="E17" s="44"/>
      <c r="F17" s="14">
        <v>2000000</v>
      </c>
      <c r="G17" s="14">
        <f t="shared" si="0"/>
        <v>0</v>
      </c>
      <c r="H17" s="14">
        <f t="shared" si="1"/>
        <v>160000000</v>
      </c>
      <c r="I17" s="16">
        <f t="shared" ref="I17:I35" si="2">G17+H17</f>
        <v>160000000</v>
      </c>
      <c r="J17" s="13"/>
    </row>
    <row r="18" spans="1:10" x14ac:dyDescent="0.3">
      <c r="A18" s="191"/>
      <c r="B18" s="17" t="s">
        <v>19</v>
      </c>
      <c r="C18" s="60">
        <v>16</v>
      </c>
      <c r="D18" s="51" t="s">
        <v>17</v>
      </c>
      <c r="E18" s="44"/>
      <c r="F18" s="14">
        <v>2000000</v>
      </c>
      <c r="G18" s="14">
        <f t="shared" si="0"/>
        <v>0</v>
      </c>
      <c r="H18" s="14">
        <f t="shared" si="1"/>
        <v>32000000</v>
      </c>
      <c r="I18" s="16">
        <f t="shared" si="2"/>
        <v>32000000</v>
      </c>
      <c r="J18" s="13"/>
    </row>
    <row r="19" spans="1:10" x14ac:dyDescent="0.3">
      <c r="A19" s="191"/>
      <c r="B19" s="17" t="s">
        <v>20</v>
      </c>
      <c r="C19" s="60">
        <v>14</v>
      </c>
      <c r="D19" s="51" t="s">
        <v>17</v>
      </c>
      <c r="E19" s="44"/>
      <c r="F19" s="14">
        <v>2000000</v>
      </c>
      <c r="G19" s="14">
        <f t="shared" si="0"/>
        <v>0</v>
      </c>
      <c r="H19" s="14">
        <f t="shared" si="1"/>
        <v>28000000</v>
      </c>
      <c r="I19" s="16">
        <f t="shared" si="2"/>
        <v>28000000</v>
      </c>
      <c r="J19" s="13"/>
    </row>
    <row r="20" spans="1:10" x14ac:dyDescent="0.3">
      <c r="A20" s="191"/>
      <c r="B20" s="13" t="s">
        <v>21</v>
      </c>
      <c r="C20" s="42">
        <v>6</v>
      </c>
      <c r="D20" s="51" t="s">
        <v>22</v>
      </c>
      <c r="E20" s="44"/>
      <c r="F20" s="14">
        <v>6500000</v>
      </c>
      <c r="G20" s="14">
        <f t="shared" si="0"/>
        <v>0</v>
      </c>
      <c r="H20" s="14">
        <f t="shared" si="1"/>
        <v>39000000</v>
      </c>
      <c r="I20" s="16">
        <f t="shared" si="2"/>
        <v>39000000</v>
      </c>
      <c r="J20" s="13"/>
    </row>
    <row r="21" spans="1:10" x14ac:dyDescent="0.3">
      <c r="A21" s="15"/>
      <c r="B21" s="13" t="s">
        <v>351</v>
      </c>
      <c r="C21" s="42">
        <v>1</v>
      </c>
      <c r="D21" s="51" t="s">
        <v>22</v>
      </c>
      <c r="E21" s="44"/>
      <c r="F21" s="14">
        <v>40000000</v>
      </c>
      <c r="G21" s="14">
        <f t="shared" si="0"/>
        <v>0</v>
      </c>
      <c r="H21" s="14">
        <f t="shared" si="1"/>
        <v>40000000</v>
      </c>
      <c r="I21" s="16">
        <f t="shared" si="2"/>
        <v>40000000</v>
      </c>
      <c r="J21" s="13"/>
    </row>
    <row r="22" spans="1:10" x14ac:dyDescent="0.3">
      <c r="A22" s="15">
        <v>2</v>
      </c>
      <c r="B22" s="13" t="s">
        <v>23</v>
      </c>
      <c r="C22" s="42">
        <v>1</v>
      </c>
      <c r="D22" s="51" t="s">
        <v>22</v>
      </c>
      <c r="E22" s="44">
        <v>96000000</v>
      </c>
      <c r="F22" s="14">
        <v>4000000</v>
      </c>
      <c r="G22" s="14">
        <f t="shared" si="0"/>
        <v>96000000</v>
      </c>
      <c r="H22" s="14">
        <f t="shared" si="1"/>
        <v>4000000</v>
      </c>
      <c r="I22" s="16">
        <f t="shared" si="2"/>
        <v>100000000</v>
      </c>
      <c r="J22" s="13"/>
    </row>
    <row r="23" spans="1:10" x14ac:dyDescent="0.3">
      <c r="A23" s="15">
        <v>3</v>
      </c>
      <c r="B23" s="13" t="s">
        <v>24</v>
      </c>
      <c r="C23" s="42"/>
      <c r="D23" s="51" t="s">
        <v>22</v>
      </c>
      <c r="E23" s="44">
        <v>60000000</v>
      </c>
      <c r="F23" s="14">
        <v>8500000</v>
      </c>
      <c r="G23" s="14">
        <f t="shared" si="0"/>
        <v>0</v>
      </c>
      <c r="H23" s="14">
        <f t="shared" si="1"/>
        <v>0</v>
      </c>
      <c r="I23" s="16">
        <f t="shared" si="2"/>
        <v>0</v>
      </c>
      <c r="J23" s="13"/>
    </row>
    <row r="24" spans="1:10" x14ac:dyDescent="0.3">
      <c r="A24" s="191">
        <v>4</v>
      </c>
      <c r="B24" s="13" t="s">
        <v>25</v>
      </c>
      <c r="C24" s="42"/>
      <c r="D24" s="51"/>
      <c r="E24" s="44"/>
      <c r="F24" s="14"/>
      <c r="G24" s="14"/>
      <c r="H24" s="14"/>
      <c r="I24" s="16"/>
      <c r="J24" s="13"/>
    </row>
    <row r="25" spans="1:10" x14ac:dyDescent="0.3">
      <c r="A25" s="191"/>
      <c r="B25" s="13" t="s">
        <v>26</v>
      </c>
      <c r="C25" s="60">
        <v>130</v>
      </c>
      <c r="D25" s="51" t="s">
        <v>17</v>
      </c>
      <c r="E25" s="44">
        <v>50000</v>
      </c>
      <c r="F25" s="14">
        <v>1000000</v>
      </c>
      <c r="G25" s="14">
        <f t="shared" si="0"/>
        <v>6500000</v>
      </c>
      <c r="H25" s="14">
        <f t="shared" si="1"/>
        <v>130000000</v>
      </c>
      <c r="I25" s="16">
        <f t="shared" si="2"/>
        <v>136500000</v>
      </c>
      <c r="J25" s="11"/>
    </row>
    <row r="26" spans="1:10" x14ac:dyDescent="0.3">
      <c r="A26" s="191"/>
      <c r="B26" s="13" t="s">
        <v>27</v>
      </c>
      <c r="C26" s="42"/>
      <c r="D26" s="51" t="s">
        <v>28</v>
      </c>
      <c r="E26" s="44">
        <v>17500000</v>
      </c>
      <c r="F26" s="14">
        <v>1500000</v>
      </c>
      <c r="G26" s="14">
        <f t="shared" si="0"/>
        <v>0</v>
      </c>
      <c r="H26" s="14">
        <f t="shared" si="1"/>
        <v>0</v>
      </c>
      <c r="I26" s="16">
        <f t="shared" si="2"/>
        <v>0</v>
      </c>
      <c r="J26" s="11"/>
    </row>
    <row r="27" spans="1:10" x14ac:dyDescent="0.3">
      <c r="A27" s="191">
        <v>5</v>
      </c>
      <c r="B27" s="13" t="s">
        <v>29</v>
      </c>
      <c r="C27" s="42"/>
      <c r="D27" s="51"/>
      <c r="E27" s="44"/>
      <c r="F27" s="14"/>
      <c r="G27" s="14"/>
      <c r="H27" s="14"/>
      <c r="I27" s="16"/>
      <c r="J27" s="11"/>
    </row>
    <row r="28" spans="1:10" x14ac:dyDescent="0.3">
      <c r="A28" s="191"/>
      <c r="B28" s="13" t="s">
        <v>30</v>
      </c>
      <c r="C28" s="41"/>
      <c r="D28" s="51" t="s">
        <v>31</v>
      </c>
      <c r="E28" s="44">
        <v>650000</v>
      </c>
      <c r="F28" s="14">
        <v>200000</v>
      </c>
      <c r="G28" s="14">
        <f>C28*E28</f>
        <v>0</v>
      </c>
      <c r="H28" s="14">
        <f>C28*F28</f>
        <v>0</v>
      </c>
      <c r="I28" s="16">
        <f t="shared" si="2"/>
        <v>0</v>
      </c>
      <c r="J28" s="11"/>
    </row>
    <row r="29" spans="1:10" x14ac:dyDescent="0.3">
      <c r="A29" s="191"/>
      <c r="B29" s="13" t="s">
        <v>32</v>
      </c>
      <c r="C29" s="43"/>
      <c r="D29" s="51" t="s">
        <v>31</v>
      </c>
      <c r="E29" s="44">
        <v>450000</v>
      </c>
      <c r="F29" s="14">
        <v>150000</v>
      </c>
      <c r="G29" s="14">
        <f>C29*E29</f>
        <v>0</v>
      </c>
      <c r="H29" s="14">
        <f>C29*F29</f>
        <v>0</v>
      </c>
      <c r="I29" s="16">
        <f t="shared" si="2"/>
        <v>0</v>
      </c>
      <c r="J29" s="11"/>
    </row>
    <row r="30" spans="1:10" x14ac:dyDescent="0.3">
      <c r="A30" s="191"/>
      <c r="B30" s="13" t="s">
        <v>33</v>
      </c>
      <c r="C30" s="41"/>
      <c r="D30" s="51" t="s">
        <v>31</v>
      </c>
      <c r="E30" s="44">
        <v>550000</v>
      </c>
      <c r="F30" s="14">
        <v>150000</v>
      </c>
      <c r="G30" s="14">
        <f>C30*E30</f>
        <v>0</v>
      </c>
      <c r="H30" s="14">
        <f>C30*F30</f>
        <v>0</v>
      </c>
      <c r="I30" s="16">
        <f t="shared" si="2"/>
        <v>0</v>
      </c>
      <c r="J30" s="11"/>
    </row>
    <row r="31" spans="1:10" x14ac:dyDescent="0.3">
      <c r="A31" s="191">
        <v>6</v>
      </c>
      <c r="B31" s="13" t="s">
        <v>34</v>
      </c>
      <c r="C31" s="42"/>
      <c r="D31" s="51"/>
      <c r="E31" s="44"/>
      <c r="F31" s="14"/>
      <c r="G31" s="14"/>
      <c r="H31" s="14"/>
      <c r="I31" s="16"/>
      <c r="J31" s="11"/>
    </row>
    <row r="32" spans="1:10" x14ac:dyDescent="0.3">
      <c r="A32" s="191"/>
      <c r="B32" s="13" t="s">
        <v>35</v>
      </c>
      <c r="C32" s="60">
        <v>130</v>
      </c>
      <c r="D32" s="51" t="s">
        <v>17</v>
      </c>
      <c r="E32" s="44">
        <v>400000</v>
      </c>
      <c r="F32" s="14"/>
      <c r="G32" s="14">
        <f>C32*E32</f>
        <v>52000000</v>
      </c>
      <c r="H32" s="14">
        <f>C32*F32</f>
        <v>0</v>
      </c>
      <c r="I32" s="16">
        <f t="shared" si="2"/>
        <v>52000000</v>
      </c>
      <c r="J32" s="11"/>
    </row>
    <row r="33" spans="1:12" x14ac:dyDescent="0.3">
      <c r="A33" s="191"/>
      <c r="B33" s="13" t="s">
        <v>374</v>
      </c>
      <c r="C33" s="42">
        <v>3</v>
      </c>
      <c r="D33" s="51" t="s">
        <v>36</v>
      </c>
      <c r="E33" s="44">
        <v>1000000</v>
      </c>
      <c r="F33" s="14"/>
      <c r="G33" s="14">
        <f>C33*E33</f>
        <v>3000000</v>
      </c>
      <c r="H33" s="14">
        <f>C33*F33</f>
        <v>0</v>
      </c>
      <c r="I33" s="16">
        <f t="shared" si="2"/>
        <v>3000000</v>
      </c>
      <c r="J33" s="11"/>
    </row>
    <row r="34" spans="1:12" x14ac:dyDescent="0.3">
      <c r="A34" s="15"/>
      <c r="B34" s="13" t="s">
        <v>352</v>
      </c>
      <c r="C34" s="42">
        <v>1</v>
      </c>
      <c r="D34" s="51" t="s">
        <v>341</v>
      </c>
      <c r="E34" s="44">
        <v>10000000</v>
      </c>
      <c r="F34" s="14"/>
      <c r="G34" s="14">
        <f>C34*E34</f>
        <v>10000000</v>
      </c>
      <c r="H34" s="14">
        <f>C34*F34</f>
        <v>0</v>
      </c>
      <c r="I34" s="16">
        <f t="shared" si="2"/>
        <v>10000000</v>
      </c>
      <c r="J34" s="11"/>
    </row>
    <row r="35" spans="1:12" x14ac:dyDescent="0.3">
      <c r="A35" s="191">
        <v>7</v>
      </c>
      <c r="B35" s="13" t="s">
        <v>37</v>
      </c>
      <c r="C35" s="49">
        <v>1</v>
      </c>
      <c r="D35" s="51" t="s">
        <v>341</v>
      </c>
      <c r="E35" s="44"/>
      <c r="F35" s="14">
        <v>12500000</v>
      </c>
      <c r="G35" s="14">
        <f>C35*E35</f>
        <v>0</v>
      </c>
      <c r="H35" s="14">
        <f>C35*F35</f>
        <v>12500000</v>
      </c>
      <c r="I35" s="16">
        <f t="shared" si="2"/>
        <v>12500000</v>
      </c>
      <c r="J35" s="11"/>
    </row>
    <row r="36" spans="1:12" x14ac:dyDescent="0.3">
      <c r="A36" s="191"/>
      <c r="B36" s="13" t="s">
        <v>38</v>
      </c>
      <c r="C36" s="49"/>
      <c r="D36" s="51"/>
      <c r="E36" s="44"/>
      <c r="F36" s="14"/>
      <c r="G36" s="14"/>
      <c r="H36" s="14"/>
      <c r="I36" s="16"/>
      <c r="J36" s="11"/>
    </row>
    <row r="37" spans="1:12" x14ac:dyDescent="0.3">
      <c r="A37" s="201" t="s">
        <v>39</v>
      </c>
      <c r="B37" s="202"/>
      <c r="C37" s="202"/>
      <c r="D37" s="202"/>
      <c r="E37" s="6"/>
      <c r="F37" s="6"/>
      <c r="G37" s="6"/>
      <c r="H37" s="101"/>
      <c r="I37" s="102">
        <f>SUM(I14:I36)</f>
        <v>653000000</v>
      </c>
      <c r="J37" s="103"/>
    </row>
    <row r="38" spans="1:12" x14ac:dyDescent="0.3">
      <c r="A38" s="9" t="s">
        <v>40</v>
      </c>
      <c r="B38" s="21" t="s">
        <v>41</v>
      </c>
      <c r="C38" s="10"/>
      <c r="D38" s="11"/>
      <c r="E38" s="44"/>
      <c r="F38" s="14"/>
      <c r="G38" s="14"/>
      <c r="H38" s="14"/>
      <c r="I38" s="20"/>
      <c r="J38" s="11"/>
    </row>
    <row r="39" spans="1:12" ht="15" thickBot="1" x14ac:dyDescent="0.35">
      <c r="A39" s="9" t="s">
        <v>42</v>
      </c>
      <c r="B39" s="21" t="s">
        <v>43</v>
      </c>
      <c r="C39" s="104"/>
      <c r="D39" s="105"/>
      <c r="E39" s="44"/>
      <c r="F39" s="14"/>
      <c r="G39" s="14"/>
      <c r="H39" s="14"/>
      <c r="I39" s="16"/>
      <c r="J39" s="11"/>
      <c r="K39" s="22"/>
      <c r="L39" s="22"/>
    </row>
    <row r="40" spans="1:12" x14ac:dyDescent="0.3">
      <c r="A40" s="15">
        <v>1</v>
      </c>
      <c r="B40" s="13" t="s">
        <v>44</v>
      </c>
      <c r="C40" s="45">
        <v>821.1149999999999</v>
      </c>
      <c r="D40" s="106" t="s">
        <v>45</v>
      </c>
      <c r="E40" s="44"/>
      <c r="F40" s="14">
        <v>50000</v>
      </c>
      <c r="G40" s="14">
        <f t="shared" ref="G40:G51" si="3">C40*E40</f>
        <v>0</v>
      </c>
      <c r="H40" s="14">
        <f t="shared" ref="H40:H51" si="4">C40*F40</f>
        <v>41055749.999999993</v>
      </c>
      <c r="I40" s="16">
        <f t="shared" ref="I40:I51" si="5">G40+H40</f>
        <v>41055749.999999993</v>
      </c>
      <c r="J40" s="13" t="s">
        <v>358</v>
      </c>
      <c r="K40" s="22"/>
      <c r="L40" s="22"/>
    </row>
    <row r="41" spans="1:12" x14ac:dyDescent="0.3">
      <c r="A41" s="15">
        <f>A40+1</f>
        <v>2</v>
      </c>
      <c r="B41" s="13" t="s">
        <v>46</v>
      </c>
      <c r="C41" s="49">
        <v>49.368000000000009</v>
      </c>
      <c r="D41" s="54" t="s">
        <v>45</v>
      </c>
      <c r="E41" s="44"/>
      <c r="F41" s="14">
        <v>50000</v>
      </c>
      <c r="G41" s="14">
        <f t="shared" si="3"/>
        <v>0</v>
      </c>
      <c r="H41" s="14">
        <f t="shared" si="4"/>
        <v>2468400.0000000005</v>
      </c>
      <c r="I41" s="16">
        <f t="shared" si="5"/>
        <v>2468400.0000000005</v>
      </c>
      <c r="J41" s="13" t="s">
        <v>358</v>
      </c>
      <c r="K41" s="22"/>
      <c r="L41" s="22"/>
    </row>
    <row r="42" spans="1:12" x14ac:dyDescent="0.3">
      <c r="A42" s="107">
        <f t="shared" ref="A42:A51" si="6">A41+1</f>
        <v>3</v>
      </c>
      <c r="B42" s="108" t="s">
        <v>47</v>
      </c>
      <c r="C42" s="109">
        <v>155.93600000000001</v>
      </c>
      <c r="D42" s="110" t="s">
        <v>45</v>
      </c>
      <c r="E42" s="44"/>
      <c r="F42" s="14">
        <v>50000</v>
      </c>
      <c r="G42" s="14">
        <f t="shared" si="3"/>
        <v>0</v>
      </c>
      <c r="H42" s="14">
        <f t="shared" si="4"/>
        <v>7796800</v>
      </c>
      <c r="I42" s="16">
        <f t="shared" si="5"/>
        <v>7796800</v>
      </c>
      <c r="J42" s="13" t="s">
        <v>358</v>
      </c>
      <c r="K42" s="22"/>
      <c r="L42" s="22"/>
    </row>
    <row r="43" spans="1:12" x14ac:dyDescent="0.3">
      <c r="A43" s="107">
        <f t="shared" si="6"/>
        <v>4</v>
      </c>
      <c r="B43" s="108" t="s">
        <v>48</v>
      </c>
      <c r="C43" s="109">
        <v>43.458600000000004</v>
      </c>
      <c r="D43" s="110" t="s">
        <v>45</v>
      </c>
      <c r="E43" s="44"/>
      <c r="F43" s="14">
        <v>50000</v>
      </c>
      <c r="G43" s="14">
        <f t="shared" si="3"/>
        <v>0</v>
      </c>
      <c r="H43" s="14">
        <f t="shared" si="4"/>
        <v>2172930</v>
      </c>
      <c r="I43" s="16">
        <f t="shared" si="5"/>
        <v>2172930</v>
      </c>
      <c r="J43" s="13" t="s">
        <v>358</v>
      </c>
      <c r="K43" s="22"/>
      <c r="L43" s="22"/>
    </row>
    <row r="44" spans="1:12" x14ac:dyDescent="0.3">
      <c r="A44" s="15">
        <f t="shared" si="6"/>
        <v>5</v>
      </c>
      <c r="B44" s="13" t="s">
        <v>49</v>
      </c>
      <c r="C44" s="49">
        <v>226.51800000000003</v>
      </c>
      <c r="D44" s="54" t="s">
        <v>45</v>
      </c>
      <c r="E44" s="44"/>
      <c r="F44" s="14">
        <v>50000</v>
      </c>
      <c r="G44" s="14">
        <f t="shared" si="3"/>
        <v>0</v>
      </c>
      <c r="H44" s="14">
        <f t="shared" si="4"/>
        <v>11325900.000000002</v>
      </c>
      <c r="I44" s="16">
        <f t="shared" si="5"/>
        <v>11325900.000000002</v>
      </c>
      <c r="J44" s="13" t="s">
        <v>358</v>
      </c>
      <c r="K44" s="22"/>
      <c r="L44" s="22"/>
    </row>
    <row r="45" spans="1:12" x14ac:dyDescent="0.3">
      <c r="A45" s="15">
        <f t="shared" si="6"/>
        <v>6</v>
      </c>
      <c r="B45" s="13" t="s">
        <v>50</v>
      </c>
      <c r="C45" s="49">
        <v>5.76</v>
      </c>
      <c r="D45" s="54" t="s">
        <v>45</v>
      </c>
      <c r="E45" s="44">
        <v>650000</v>
      </c>
      <c r="F45" s="14">
        <v>150000</v>
      </c>
      <c r="G45" s="14">
        <f t="shared" si="3"/>
        <v>3744000</v>
      </c>
      <c r="H45" s="14">
        <f t="shared" si="4"/>
        <v>864000</v>
      </c>
      <c r="I45" s="16">
        <f t="shared" si="5"/>
        <v>4608000</v>
      </c>
      <c r="J45" s="11"/>
      <c r="K45" s="22"/>
      <c r="L45" s="22"/>
    </row>
    <row r="46" spans="1:12" x14ac:dyDescent="0.3">
      <c r="A46" s="15">
        <f t="shared" si="6"/>
        <v>7</v>
      </c>
      <c r="B46" s="13" t="s">
        <v>51</v>
      </c>
      <c r="C46" s="49">
        <v>1.2000000000000002</v>
      </c>
      <c r="D46" s="54" t="s">
        <v>45</v>
      </c>
      <c r="E46" s="44">
        <v>650000</v>
      </c>
      <c r="F46" s="44">
        <v>150000</v>
      </c>
      <c r="G46" s="14">
        <f t="shared" si="3"/>
        <v>780000.00000000012</v>
      </c>
      <c r="H46" s="14">
        <f t="shared" si="4"/>
        <v>180000.00000000003</v>
      </c>
      <c r="I46" s="16">
        <f t="shared" si="5"/>
        <v>960000.00000000012</v>
      </c>
      <c r="J46" s="11"/>
      <c r="K46" s="22"/>
      <c r="L46" s="22"/>
    </row>
    <row r="47" spans="1:12" x14ac:dyDescent="0.3">
      <c r="A47" s="15">
        <f t="shared" si="6"/>
        <v>8</v>
      </c>
      <c r="B47" s="13" t="s">
        <v>52</v>
      </c>
      <c r="C47" s="49">
        <v>1.0980000000000001</v>
      </c>
      <c r="D47" s="54" t="s">
        <v>45</v>
      </c>
      <c r="E47" s="44">
        <v>650000</v>
      </c>
      <c r="F47" s="44">
        <v>150000</v>
      </c>
      <c r="G47" s="14">
        <f t="shared" si="3"/>
        <v>713700</v>
      </c>
      <c r="H47" s="14">
        <f t="shared" si="4"/>
        <v>164700</v>
      </c>
      <c r="I47" s="16">
        <f t="shared" si="5"/>
        <v>878400</v>
      </c>
      <c r="J47" s="11"/>
      <c r="K47" s="22"/>
      <c r="L47" s="22"/>
    </row>
    <row r="48" spans="1:12" x14ac:dyDescent="0.3">
      <c r="A48" s="15">
        <f t="shared" si="6"/>
        <v>9</v>
      </c>
      <c r="B48" s="13" t="s">
        <v>53</v>
      </c>
      <c r="C48" s="49">
        <v>0.22800000000000001</v>
      </c>
      <c r="D48" s="54" t="s">
        <v>45</v>
      </c>
      <c r="E48" s="44">
        <v>650000</v>
      </c>
      <c r="F48" s="44">
        <v>150000</v>
      </c>
      <c r="G48" s="14">
        <f t="shared" si="3"/>
        <v>148200</v>
      </c>
      <c r="H48" s="14">
        <f t="shared" si="4"/>
        <v>34200</v>
      </c>
      <c r="I48" s="16">
        <f t="shared" si="5"/>
        <v>182400</v>
      </c>
      <c r="J48" s="11"/>
      <c r="K48" s="22"/>
      <c r="L48" s="22"/>
    </row>
    <row r="49" spans="1:12" x14ac:dyDescent="0.3">
      <c r="A49" s="15">
        <f t="shared" si="6"/>
        <v>10</v>
      </c>
      <c r="B49" s="13" t="s">
        <v>54</v>
      </c>
      <c r="C49" s="49">
        <v>24.759000000000011</v>
      </c>
      <c r="D49" s="54" t="s">
        <v>45</v>
      </c>
      <c r="E49" s="44">
        <v>650000</v>
      </c>
      <c r="F49" s="44">
        <v>150000</v>
      </c>
      <c r="G49" s="14">
        <f t="shared" si="3"/>
        <v>16093350.000000007</v>
      </c>
      <c r="H49" s="14">
        <f t="shared" si="4"/>
        <v>3713850.0000000019</v>
      </c>
      <c r="I49" s="16">
        <f t="shared" si="5"/>
        <v>19807200.000000007</v>
      </c>
      <c r="J49" s="11"/>
      <c r="K49" s="22"/>
      <c r="L49" s="22"/>
    </row>
    <row r="50" spans="1:12" x14ac:dyDescent="0.3">
      <c r="A50" s="15">
        <f t="shared" si="6"/>
        <v>11</v>
      </c>
      <c r="B50" s="13" t="s">
        <v>55</v>
      </c>
      <c r="C50" s="49">
        <v>198.56</v>
      </c>
      <c r="D50" s="54" t="s">
        <v>45</v>
      </c>
      <c r="E50" s="44">
        <v>650000</v>
      </c>
      <c r="F50" s="44">
        <v>150000</v>
      </c>
      <c r="G50" s="14">
        <f t="shared" si="3"/>
        <v>129064000</v>
      </c>
      <c r="H50" s="14">
        <f t="shared" si="4"/>
        <v>29784000</v>
      </c>
      <c r="I50" s="16">
        <f t="shared" si="5"/>
        <v>158848000</v>
      </c>
      <c r="J50" s="11"/>
      <c r="K50" s="22"/>
      <c r="L50" s="22"/>
    </row>
    <row r="51" spans="1:12" ht="15" thickBot="1" x14ac:dyDescent="0.35">
      <c r="A51" s="15">
        <f t="shared" si="6"/>
        <v>12</v>
      </c>
      <c r="B51" s="13" t="s">
        <v>56</v>
      </c>
      <c r="C51" s="52">
        <v>454.87899999999991</v>
      </c>
      <c r="D51" s="55" t="s">
        <v>45</v>
      </c>
      <c r="E51" s="112"/>
      <c r="F51" s="14">
        <v>40000</v>
      </c>
      <c r="G51" s="14">
        <f t="shared" si="3"/>
        <v>0</v>
      </c>
      <c r="H51" s="14">
        <f t="shared" si="4"/>
        <v>18195159.999999996</v>
      </c>
      <c r="I51" s="16">
        <f t="shared" si="5"/>
        <v>18195159.999999996</v>
      </c>
      <c r="J51" s="11"/>
      <c r="K51" s="22"/>
      <c r="L51" s="22"/>
    </row>
    <row r="52" spans="1:12" x14ac:dyDescent="0.3">
      <c r="A52" s="201" t="s">
        <v>57</v>
      </c>
      <c r="B52" s="202"/>
      <c r="C52" s="193"/>
      <c r="D52" s="193"/>
      <c r="E52" s="112"/>
      <c r="F52" s="91"/>
      <c r="G52" s="91"/>
      <c r="H52" s="92"/>
      <c r="I52" s="23">
        <f>SUM(I40:I51)</f>
        <v>268298940</v>
      </c>
      <c r="J52" s="11"/>
      <c r="K52" s="22"/>
      <c r="L52" s="22"/>
    </row>
    <row r="53" spans="1:12" ht="15" thickBot="1" x14ac:dyDescent="0.35">
      <c r="A53" s="9" t="s">
        <v>58</v>
      </c>
      <c r="B53" s="11" t="s">
        <v>59</v>
      </c>
      <c r="C53" s="113"/>
      <c r="D53" s="99"/>
      <c r="E53" s="14"/>
      <c r="F53" s="14"/>
      <c r="G53" s="14"/>
      <c r="H53" s="14"/>
      <c r="I53" s="16"/>
      <c r="J53" s="11"/>
      <c r="K53" s="22"/>
      <c r="L53" s="22"/>
    </row>
    <row r="54" spans="1:12" x14ac:dyDescent="0.3">
      <c r="A54" s="15">
        <v>1</v>
      </c>
      <c r="B54" s="13" t="s">
        <v>60</v>
      </c>
      <c r="C54" s="114">
        <v>812.30000000000007</v>
      </c>
      <c r="D54" s="46" t="s">
        <v>61</v>
      </c>
      <c r="E54" s="14">
        <v>60000</v>
      </c>
      <c r="F54" s="14">
        <v>30000</v>
      </c>
      <c r="G54" s="14">
        <f>C54*E54</f>
        <v>48738000.000000007</v>
      </c>
      <c r="H54" s="14">
        <f>C54*F54</f>
        <v>24369000.000000004</v>
      </c>
      <c r="I54" s="16">
        <f t="shared" ref="I54" si="7">G54+H54</f>
        <v>73107000.000000015</v>
      </c>
      <c r="J54" s="11"/>
      <c r="K54" s="22"/>
      <c r="L54" s="22"/>
    </row>
    <row r="55" spans="1:12" x14ac:dyDescent="0.3">
      <c r="A55" s="191">
        <f>A54+1</f>
        <v>2</v>
      </c>
      <c r="B55" s="13" t="s">
        <v>62</v>
      </c>
      <c r="C55" s="42"/>
      <c r="D55" s="50"/>
      <c r="E55" s="14"/>
      <c r="F55" s="14"/>
      <c r="G55" s="14"/>
      <c r="H55" s="14"/>
      <c r="I55" s="16"/>
      <c r="J55" s="11"/>
      <c r="K55" s="22"/>
      <c r="L55" s="22"/>
    </row>
    <row r="56" spans="1:12" x14ac:dyDescent="0.3">
      <c r="A56" s="191"/>
      <c r="B56" s="115" t="s">
        <v>63</v>
      </c>
      <c r="C56" s="116">
        <v>41.055750000000003</v>
      </c>
      <c r="D56" s="117" t="s">
        <v>45</v>
      </c>
      <c r="E56" s="14">
        <v>1675000</v>
      </c>
      <c r="F56" s="14">
        <v>250000</v>
      </c>
      <c r="G56" s="14">
        <f>C56*E56</f>
        <v>68768381.25</v>
      </c>
      <c r="H56" s="14">
        <f>C56*F56</f>
        <v>10263937.5</v>
      </c>
      <c r="I56" s="16">
        <f t="shared" ref="I56:I58" si="8">G56+H56</f>
        <v>79032318.75</v>
      </c>
      <c r="J56" s="118"/>
      <c r="K56" s="22"/>
      <c r="L56" s="22"/>
    </row>
    <row r="57" spans="1:12" x14ac:dyDescent="0.3">
      <c r="A57" s="203"/>
      <c r="B57" s="115" t="s">
        <v>64</v>
      </c>
      <c r="C57" s="116">
        <v>273.70499999999998</v>
      </c>
      <c r="D57" s="117" t="s">
        <v>45</v>
      </c>
      <c r="E57" s="14">
        <v>1950000</v>
      </c>
      <c r="F57" s="14">
        <v>350000</v>
      </c>
      <c r="G57" s="14">
        <f>C57*E57</f>
        <v>533724749.99999994</v>
      </c>
      <c r="H57" s="14">
        <f>C57*F57</f>
        <v>95796750</v>
      </c>
      <c r="I57" s="16">
        <f t="shared" si="8"/>
        <v>629521500</v>
      </c>
      <c r="J57" s="118"/>
      <c r="K57" s="22"/>
      <c r="L57" s="22"/>
    </row>
    <row r="58" spans="1:12" x14ac:dyDescent="0.3">
      <c r="A58" s="58"/>
      <c r="B58" s="57" t="s">
        <v>335</v>
      </c>
      <c r="C58" s="41">
        <v>269.43029999999999</v>
      </c>
      <c r="D58" s="56" t="s">
        <v>45</v>
      </c>
      <c r="E58" s="119">
        <v>1100000</v>
      </c>
      <c r="F58" s="119">
        <v>250000</v>
      </c>
      <c r="G58" s="119">
        <f>C58*E58</f>
        <v>296373330</v>
      </c>
      <c r="H58" s="119">
        <f>C58*F58</f>
        <v>67357575</v>
      </c>
      <c r="I58" s="120">
        <f t="shared" si="8"/>
        <v>363730905</v>
      </c>
      <c r="J58" s="121"/>
      <c r="K58" s="22"/>
      <c r="L58" s="22"/>
    </row>
    <row r="59" spans="1:12" x14ac:dyDescent="0.3">
      <c r="A59" s="200">
        <f>A55+1</f>
        <v>3</v>
      </c>
      <c r="B59" s="24" t="s">
        <v>65</v>
      </c>
      <c r="C59" s="41"/>
      <c r="D59" s="56"/>
      <c r="E59" s="14"/>
      <c r="F59" s="14"/>
      <c r="G59" s="14"/>
      <c r="H59" s="14"/>
      <c r="I59" s="16"/>
      <c r="J59" s="11"/>
      <c r="K59" s="22"/>
      <c r="L59" s="22"/>
    </row>
    <row r="60" spans="1:12" x14ac:dyDescent="0.3">
      <c r="A60" s="200"/>
      <c r="B60" s="13" t="s">
        <v>66</v>
      </c>
      <c r="C60" s="42">
        <v>414</v>
      </c>
      <c r="D60" s="51" t="s">
        <v>336</v>
      </c>
      <c r="E60" s="122">
        <v>225000</v>
      </c>
      <c r="F60" s="122">
        <v>75000</v>
      </c>
      <c r="G60" s="14">
        <f>C60*E60</f>
        <v>93150000</v>
      </c>
      <c r="H60" s="14">
        <f>C60*F60</f>
        <v>31050000</v>
      </c>
      <c r="I60" s="16">
        <f t="shared" ref="I60:I64" si="9">G60+H60</f>
        <v>124200000</v>
      </c>
      <c r="J60" s="13" t="s">
        <v>358</v>
      </c>
      <c r="K60" s="22"/>
      <c r="L60" s="22"/>
    </row>
    <row r="61" spans="1:12" x14ac:dyDescent="0.3">
      <c r="A61" s="200"/>
      <c r="B61" s="13" t="s">
        <v>67</v>
      </c>
      <c r="C61" s="42">
        <v>9.2000000000000011</v>
      </c>
      <c r="D61" s="51" t="s">
        <v>45</v>
      </c>
      <c r="E61" s="14">
        <v>1675000</v>
      </c>
      <c r="F61" s="14">
        <v>250000</v>
      </c>
      <c r="G61" s="14">
        <f>C61*E61</f>
        <v>15410000.000000002</v>
      </c>
      <c r="H61" s="14">
        <f>C61*F61</f>
        <v>2300000.0000000005</v>
      </c>
      <c r="I61" s="16">
        <f t="shared" si="9"/>
        <v>17710000.000000004</v>
      </c>
      <c r="J61" s="11"/>
      <c r="K61" s="22"/>
      <c r="L61" s="22"/>
    </row>
    <row r="62" spans="1:12" x14ac:dyDescent="0.3">
      <c r="A62" s="200"/>
      <c r="B62" s="13" t="s">
        <v>68</v>
      </c>
      <c r="C62" s="42">
        <v>7691.1999999999989</v>
      </c>
      <c r="D62" s="51" t="s">
        <v>69</v>
      </c>
      <c r="E62" s="14">
        <v>15000</v>
      </c>
      <c r="F62" s="14">
        <v>2900</v>
      </c>
      <c r="G62" s="14">
        <f>C62*E62</f>
        <v>115367999.99999999</v>
      </c>
      <c r="H62" s="14">
        <f>C62*F62</f>
        <v>22304479.999999996</v>
      </c>
      <c r="I62" s="16">
        <f t="shared" si="9"/>
        <v>137672479.99999997</v>
      </c>
      <c r="J62" s="11"/>
      <c r="K62" s="22"/>
      <c r="L62" s="22"/>
    </row>
    <row r="63" spans="1:12" x14ac:dyDescent="0.3">
      <c r="A63" s="200"/>
      <c r="B63" s="13" t="s">
        <v>70</v>
      </c>
      <c r="C63" s="42">
        <v>147.20000000000002</v>
      </c>
      <c r="D63" s="51" t="s">
        <v>31</v>
      </c>
      <c r="E63" s="14">
        <v>150000</v>
      </c>
      <c r="F63" s="14">
        <v>75000</v>
      </c>
      <c r="G63" s="14">
        <f>C63*E63</f>
        <v>22080000.000000004</v>
      </c>
      <c r="H63" s="14">
        <f>C63*F63</f>
        <v>11040000.000000002</v>
      </c>
      <c r="I63" s="16">
        <f t="shared" si="9"/>
        <v>33120000.000000007</v>
      </c>
      <c r="J63" s="11"/>
      <c r="K63" s="22"/>
      <c r="L63" s="22"/>
    </row>
    <row r="64" spans="1:12" x14ac:dyDescent="0.3">
      <c r="A64" s="200"/>
      <c r="B64" s="13" t="s">
        <v>71</v>
      </c>
      <c r="C64" s="42">
        <v>73.600000000000009</v>
      </c>
      <c r="D64" s="51" t="s">
        <v>45</v>
      </c>
      <c r="E64" s="14">
        <v>2350000</v>
      </c>
      <c r="F64" s="14">
        <v>275000</v>
      </c>
      <c r="G64" s="14">
        <f>C64*E64</f>
        <v>172960000.00000003</v>
      </c>
      <c r="H64" s="14">
        <f>C64*F64</f>
        <v>20240000.000000004</v>
      </c>
      <c r="I64" s="16">
        <f t="shared" si="9"/>
        <v>193200000.00000003</v>
      </c>
      <c r="J64" s="11"/>
      <c r="K64" s="22"/>
      <c r="L64" s="22"/>
    </row>
    <row r="65" spans="1:12" x14ac:dyDescent="0.3">
      <c r="A65" s="200">
        <f>A59+1</f>
        <v>4</v>
      </c>
      <c r="B65" s="24" t="s">
        <v>72</v>
      </c>
      <c r="C65" s="42"/>
      <c r="D65" s="50"/>
      <c r="E65" s="14"/>
      <c r="F65" s="14"/>
      <c r="G65" s="14"/>
      <c r="H65" s="14"/>
      <c r="I65" s="16"/>
      <c r="J65" s="11"/>
      <c r="K65" s="22"/>
      <c r="L65" s="22"/>
    </row>
    <row r="66" spans="1:12" x14ac:dyDescent="0.3">
      <c r="A66" s="200"/>
      <c r="B66" s="13" t="s">
        <v>66</v>
      </c>
      <c r="C66" s="42">
        <v>207</v>
      </c>
      <c r="D66" s="51" t="s">
        <v>336</v>
      </c>
      <c r="E66" s="122">
        <v>225000</v>
      </c>
      <c r="F66" s="122">
        <v>75000</v>
      </c>
      <c r="G66" s="14">
        <f>C66*E66</f>
        <v>46575000</v>
      </c>
      <c r="H66" s="14">
        <f>C66*F66</f>
        <v>15525000</v>
      </c>
      <c r="I66" s="16">
        <f t="shared" ref="I66:I70" si="10">G66+H66</f>
        <v>62100000</v>
      </c>
      <c r="J66" s="13" t="s">
        <v>358</v>
      </c>
      <c r="K66" s="22"/>
      <c r="L66" s="22"/>
    </row>
    <row r="67" spans="1:12" x14ac:dyDescent="0.3">
      <c r="A67" s="200"/>
      <c r="B67" s="108" t="s">
        <v>67</v>
      </c>
      <c r="C67" s="123">
        <v>2.028</v>
      </c>
      <c r="D67" s="124" t="s">
        <v>45</v>
      </c>
      <c r="E67" s="14">
        <v>1675000</v>
      </c>
      <c r="F67" s="14">
        <v>250000</v>
      </c>
      <c r="G67" s="14">
        <f>C67*E67</f>
        <v>3396900</v>
      </c>
      <c r="H67" s="14">
        <f>C67*F67</f>
        <v>507000</v>
      </c>
      <c r="I67" s="16">
        <f t="shared" si="10"/>
        <v>3903900</v>
      </c>
      <c r="J67" s="111"/>
      <c r="K67" s="22"/>
      <c r="L67" s="22"/>
    </row>
    <row r="68" spans="1:12" x14ac:dyDescent="0.3">
      <c r="A68" s="200"/>
      <c r="B68" s="108" t="s">
        <v>73</v>
      </c>
      <c r="C68" s="123">
        <v>940.58336666666696</v>
      </c>
      <c r="D68" s="124" t="s">
        <v>69</v>
      </c>
      <c r="E68" s="14">
        <v>15000</v>
      </c>
      <c r="F68" s="14">
        <v>2900</v>
      </c>
      <c r="G68" s="14">
        <f>C68*E68</f>
        <v>14108750.500000004</v>
      </c>
      <c r="H68" s="14">
        <f>C68*F68</f>
        <v>2727691.7633333341</v>
      </c>
      <c r="I68" s="16">
        <f t="shared" si="10"/>
        <v>16836442.263333339</v>
      </c>
      <c r="J68" s="111"/>
      <c r="K68" s="22"/>
      <c r="L68" s="22"/>
    </row>
    <row r="69" spans="1:12" x14ac:dyDescent="0.3">
      <c r="A69" s="200"/>
      <c r="B69" s="108" t="s">
        <v>74</v>
      </c>
      <c r="C69" s="123">
        <v>42.120000000000005</v>
      </c>
      <c r="D69" s="124" t="s">
        <v>31</v>
      </c>
      <c r="E69" s="14">
        <v>150000</v>
      </c>
      <c r="F69" s="14">
        <v>75000</v>
      </c>
      <c r="G69" s="14">
        <f>C69*E69</f>
        <v>6318000.0000000009</v>
      </c>
      <c r="H69" s="14">
        <f>C69*F69</f>
        <v>3159000.0000000005</v>
      </c>
      <c r="I69" s="16">
        <f t="shared" si="10"/>
        <v>9477000.0000000019</v>
      </c>
      <c r="J69" s="111"/>
      <c r="K69" s="22"/>
      <c r="L69" s="22"/>
    </row>
    <row r="70" spans="1:12" x14ac:dyDescent="0.3">
      <c r="A70" s="200"/>
      <c r="B70" s="108" t="s">
        <v>75</v>
      </c>
      <c r="C70" s="123">
        <v>11.7455</v>
      </c>
      <c r="D70" s="124" t="s">
        <v>45</v>
      </c>
      <c r="E70" s="14">
        <v>2350000</v>
      </c>
      <c r="F70" s="14">
        <v>275000</v>
      </c>
      <c r="G70" s="14">
        <f>C70*E70</f>
        <v>27601925</v>
      </c>
      <c r="H70" s="14">
        <f>C70*F70</f>
        <v>3230012.5</v>
      </c>
      <c r="I70" s="16">
        <f t="shared" si="10"/>
        <v>30831937.5</v>
      </c>
      <c r="J70" s="111"/>
      <c r="K70" s="22"/>
      <c r="L70" s="22"/>
    </row>
    <row r="71" spans="1:12" x14ac:dyDescent="0.3">
      <c r="A71" s="200">
        <f>A65+1</f>
        <v>5</v>
      </c>
      <c r="B71" s="24" t="s">
        <v>76</v>
      </c>
      <c r="C71" s="42"/>
      <c r="D71" s="50"/>
      <c r="E71" s="14"/>
      <c r="F71" s="14"/>
      <c r="G71" s="14"/>
      <c r="H71" s="14"/>
      <c r="I71" s="16"/>
      <c r="J71" s="11"/>
      <c r="K71" s="22"/>
      <c r="L71" s="22"/>
    </row>
    <row r="72" spans="1:12" x14ac:dyDescent="0.3">
      <c r="A72" s="200"/>
      <c r="B72" s="13" t="s">
        <v>77</v>
      </c>
      <c r="C72" s="42">
        <v>125</v>
      </c>
      <c r="D72" s="51" t="s">
        <v>336</v>
      </c>
      <c r="E72" s="122">
        <v>225000</v>
      </c>
      <c r="F72" s="122">
        <v>75000</v>
      </c>
      <c r="G72" s="14">
        <f>C72*E72</f>
        <v>28125000</v>
      </c>
      <c r="H72" s="14">
        <f>C72*F72</f>
        <v>9375000</v>
      </c>
      <c r="I72" s="16">
        <f t="shared" ref="I72:I76" si="11">G72+H72</f>
        <v>37500000</v>
      </c>
      <c r="J72" s="13" t="s">
        <v>358</v>
      </c>
      <c r="K72" s="22"/>
      <c r="L72" s="22"/>
    </row>
    <row r="73" spans="1:12" x14ac:dyDescent="0.3">
      <c r="A73" s="200"/>
      <c r="B73" s="108" t="s">
        <v>67</v>
      </c>
      <c r="C73" s="123">
        <v>0.83200000000000007</v>
      </c>
      <c r="D73" s="124" t="s">
        <v>45</v>
      </c>
      <c r="E73" s="14">
        <v>1675000</v>
      </c>
      <c r="F73" s="14">
        <v>250000</v>
      </c>
      <c r="G73" s="14">
        <f>C73*E73</f>
        <v>1393600.0000000002</v>
      </c>
      <c r="H73" s="14">
        <f>C73*F73</f>
        <v>208000.00000000003</v>
      </c>
      <c r="I73" s="16">
        <f t="shared" si="11"/>
        <v>1601600.0000000002</v>
      </c>
      <c r="J73" s="111"/>
      <c r="K73" s="22"/>
      <c r="L73" s="22"/>
    </row>
    <row r="74" spans="1:12" x14ac:dyDescent="0.3">
      <c r="A74" s="200"/>
      <c r="B74" s="108" t="s">
        <v>73</v>
      </c>
      <c r="C74" s="123">
        <v>256.26266666666697</v>
      </c>
      <c r="D74" s="124" t="s">
        <v>69</v>
      </c>
      <c r="E74" s="14">
        <v>15000</v>
      </c>
      <c r="F74" s="14">
        <v>2900</v>
      </c>
      <c r="G74" s="14">
        <f>C74*E74</f>
        <v>3843940.0000000047</v>
      </c>
      <c r="H74" s="14">
        <f>C74*F74</f>
        <v>743161.73333333421</v>
      </c>
      <c r="I74" s="16">
        <f t="shared" si="11"/>
        <v>4587101.733333339</v>
      </c>
      <c r="J74" s="111"/>
      <c r="K74" s="22"/>
      <c r="L74" s="22"/>
    </row>
    <row r="75" spans="1:12" x14ac:dyDescent="0.3">
      <c r="A75" s="200"/>
      <c r="B75" s="108" t="s">
        <v>74</v>
      </c>
      <c r="C75" s="123">
        <v>24.032</v>
      </c>
      <c r="D75" s="124" t="s">
        <v>31</v>
      </c>
      <c r="E75" s="14">
        <v>150000</v>
      </c>
      <c r="F75" s="14">
        <v>75000</v>
      </c>
      <c r="G75" s="14">
        <f>C75*E75</f>
        <v>3604800</v>
      </c>
      <c r="H75" s="14">
        <f>C75*F75</f>
        <v>1802400</v>
      </c>
      <c r="I75" s="16">
        <f t="shared" si="11"/>
        <v>5407200</v>
      </c>
      <c r="J75" s="111"/>
      <c r="K75" s="22"/>
      <c r="L75" s="22"/>
    </row>
    <row r="76" spans="1:12" x14ac:dyDescent="0.3">
      <c r="A76" s="200"/>
      <c r="B76" s="108" t="s">
        <v>78</v>
      </c>
      <c r="C76" s="123">
        <v>4.8319999999999999</v>
      </c>
      <c r="D76" s="124" t="s">
        <v>45</v>
      </c>
      <c r="E76" s="14">
        <v>2350000</v>
      </c>
      <c r="F76" s="14">
        <v>275000</v>
      </c>
      <c r="G76" s="14">
        <f>C76*E76</f>
        <v>11355200</v>
      </c>
      <c r="H76" s="14">
        <f>C76*F76</f>
        <v>1328800</v>
      </c>
      <c r="I76" s="16">
        <f t="shared" si="11"/>
        <v>12684000</v>
      </c>
      <c r="J76" s="111"/>
      <c r="K76" s="22"/>
      <c r="L76" s="22"/>
    </row>
    <row r="77" spans="1:12" x14ac:dyDescent="0.3">
      <c r="A77" s="200">
        <f>A71+1</f>
        <v>6</v>
      </c>
      <c r="B77" s="24" t="s">
        <v>79</v>
      </c>
      <c r="C77" s="42"/>
      <c r="D77" s="50"/>
      <c r="E77" s="14"/>
      <c r="F77" s="14"/>
      <c r="G77" s="14"/>
      <c r="H77" s="14"/>
      <c r="I77" s="16"/>
      <c r="J77" s="11"/>
      <c r="K77" s="22"/>
      <c r="L77" s="22"/>
    </row>
    <row r="78" spans="1:12" x14ac:dyDescent="0.3">
      <c r="A78" s="200"/>
      <c r="B78" s="13" t="s">
        <v>80</v>
      </c>
      <c r="C78" s="42">
        <v>1187.5</v>
      </c>
      <c r="D78" s="51" t="s">
        <v>69</v>
      </c>
      <c r="E78" s="14">
        <v>15000</v>
      </c>
      <c r="F78" s="14">
        <v>2900</v>
      </c>
      <c r="G78" s="14">
        <f>C78*E78</f>
        <v>17812500</v>
      </c>
      <c r="H78" s="14">
        <f>C78*F78</f>
        <v>3443750</v>
      </c>
      <c r="I78" s="16">
        <f t="shared" ref="I78:I81" si="12">G78+H78</f>
        <v>21256250</v>
      </c>
      <c r="J78" s="11"/>
      <c r="K78" s="22"/>
      <c r="L78" s="22"/>
    </row>
    <row r="79" spans="1:12" x14ac:dyDescent="0.3">
      <c r="A79" s="200"/>
      <c r="B79" s="13" t="s">
        <v>81</v>
      </c>
      <c r="C79" s="42">
        <v>197.33333333333334</v>
      </c>
      <c r="D79" s="51" t="s">
        <v>69</v>
      </c>
      <c r="E79" s="14">
        <v>15000</v>
      </c>
      <c r="F79" s="14">
        <v>2900</v>
      </c>
      <c r="G79" s="14">
        <f>C79*E79</f>
        <v>2960000</v>
      </c>
      <c r="H79" s="14">
        <f>C79*F79</f>
        <v>572266.66666666674</v>
      </c>
      <c r="I79" s="16">
        <f t="shared" si="12"/>
        <v>3532266.666666667</v>
      </c>
      <c r="J79" s="11"/>
      <c r="K79" s="22"/>
      <c r="L79" s="22"/>
    </row>
    <row r="80" spans="1:12" x14ac:dyDescent="0.3">
      <c r="A80" s="200"/>
      <c r="B80" s="13" t="s">
        <v>82</v>
      </c>
      <c r="C80" s="42">
        <v>80</v>
      </c>
      <c r="D80" s="51" t="s">
        <v>31</v>
      </c>
      <c r="E80" s="14">
        <v>185000</v>
      </c>
      <c r="F80" s="14">
        <v>90000</v>
      </c>
      <c r="G80" s="14">
        <f>C80*E80</f>
        <v>14800000</v>
      </c>
      <c r="H80" s="14">
        <f>C80*F80</f>
        <v>7200000</v>
      </c>
      <c r="I80" s="16">
        <f t="shared" si="12"/>
        <v>22000000</v>
      </c>
      <c r="J80" s="25"/>
      <c r="K80" s="22"/>
      <c r="L80" s="22"/>
    </row>
    <row r="81" spans="1:10" x14ac:dyDescent="0.3">
      <c r="A81" s="200"/>
      <c r="B81" s="13" t="s">
        <v>83</v>
      </c>
      <c r="C81" s="42">
        <v>6.9999999999999991</v>
      </c>
      <c r="D81" s="51" t="s">
        <v>45</v>
      </c>
      <c r="E81" s="14">
        <v>2350000</v>
      </c>
      <c r="F81" s="14">
        <v>275000</v>
      </c>
      <c r="G81" s="14">
        <f>C81*E81</f>
        <v>16449999.999999998</v>
      </c>
      <c r="H81" s="14">
        <f>C81*F81</f>
        <v>1924999.9999999998</v>
      </c>
      <c r="I81" s="16">
        <f t="shared" si="12"/>
        <v>18374999.999999996</v>
      </c>
      <c r="J81" s="11"/>
    </row>
    <row r="82" spans="1:10" x14ac:dyDescent="0.3">
      <c r="A82" s="191">
        <f>A77+1</f>
        <v>7</v>
      </c>
      <c r="B82" s="13" t="s">
        <v>84</v>
      </c>
      <c r="C82" s="42"/>
      <c r="D82" s="50"/>
      <c r="E82" s="14"/>
      <c r="F82" s="14"/>
      <c r="G82" s="14"/>
      <c r="H82" s="14"/>
      <c r="I82" s="20"/>
      <c r="J82" s="11"/>
    </row>
    <row r="83" spans="1:10" x14ac:dyDescent="0.3">
      <c r="A83" s="191"/>
      <c r="B83" s="13" t="s">
        <v>85</v>
      </c>
      <c r="C83" s="42">
        <v>83.600000000000009</v>
      </c>
      <c r="D83" s="51" t="s">
        <v>69</v>
      </c>
      <c r="E83" s="14">
        <v>15000</v>
      </c>
      <c r="F83" s="14">
        <v>2900</v>
      </c>
      <c r="G83" s="14">
        <f>C83*E83</f>
        <v>1254000.0000000002</v>
      </c>
      <c r="H83" s="14">
        <f>C83*F83</f>
        <v>242440.00000000003</v>
      </c>
      <c r="I83" s="16">
        <f t="shared" ref="I83:I86" si="13">G83+H83</f>
        <v>1496440.0000000002</v>
      </c>
      <c r="J83" s="11"/>
    </row>
    <row r="84" spans="1:10" x14ac:dyDescent="0.3">
      <c r="A84" s="191"/>
      <c r="B84" s="13" t="s">
        <v>81</v>
      </c>
      <c r="C84" s="42">
        <v>27.75</v>
      </c>
      <c r="D84" s="51" t="s">
        <v>69</v>
      </c>
      <c r="E84" s="14">
        <v>15000</v>
      </c>
      <c r="F84" s="14">
        <v>2900</v>
      </c>
      <c r="G84" s="14">
        <f>C84*E84</f>
        <v>416250</v>
      </c>
      <c r="H84" s="14">
        <f>C84*F84</f>
        <v>80475</v>
      </c>
      <c r="I84" s="16">
        <f t="shared" si="13"/>
        <v>496725</v>
      </c>
      <c r="J84" s="25"/>
    </row>
    <row r="85" spans="1:10" x14ac:dyDescent="0.3">
      <c r="A85" s="191"/>
      <c r="B85" s="13" t="s">
        <v>86</v>
      </c>
      <c r="C85" s="42">
        <v>4.8000000000000007</v>
      </c>
      <c r="D85" s="51" t="s">
        <v>31</v>
      </c>
      <c r="E85" s="14">
        <v>185000</v>
      </c>
      <c r="F85" s="14">
        <v>90000</v>
      </c>
      <c r="G85" s="14">
        <f>C85*E85</f>
        <v>888000.00000000012</v>
      </c>
      <c r="H85" s="14">
        <f>C85*F85</f>
        <v>432000.00000000006</v>
      </c>
      <c r="I85" s="16">
        <f t="shared" si="13"/>
        <v>1320000.0000000002</v>
      </c>
      <c r="J85" s="25"/>
    </row>
    <row r="86" spans="1:10" x14ac:dyDescent="0.3">
      <c r="A86" s="191"/>
      <c r="B86" s="13" t="s">
        <v>87</v>
      </c>
      <c r="C86" s="42">
        <v>0.48000000000000009</v>
      </c>
      <c r="D86" s="51" t="s">
        <v>45</v>
      </c>
      <c r="E86" s="14">
        <v>2350000</v>
      </c>
      <c r="F86" s="14">
        <v>275000</v>
      </c>
      <c r="G86" s="14">
        <f>C86*E86</f>
        <v>1128000.0000000002</v>
      </c>
      <c r="H86" s="14">
        <f>C86*F86</f>
        <v>132000.00000000003</v>
      </c>
      <c r="I86" s="16">
        <f t="shared" si="13"/>
        <v>1260000.0000000002</v>
      </c>
      <c r="J86" s="25"/>
    </row>
    <row r="87" spans="1:10" x14ac:dyDescent="0.3">
      <c r="A87" s="200">
        <f>A82+1</f>
        <v>8</v>
      </c>
      <c r="B87" s="24" t="s">
        <v>88</v>
      </c>
      <c r="C87" s="42"/>
      <c r="D87" s="50"/>
      <c r="E87" s="14"/>
      <c r="F87" s="14"/>
      <c r="G87" s="14"/>
      <c r="H87" s="14"/>
      <c r="I87" s="16"/>
      <c r="J87" s="25"/>
    </row>
    <row r="88" spans="1:10" x14ac:dyDescent="0.3">
      <c r="A88" s="200"/>
      <c r="B88" s="108" t="s">
        <v>89</v>
      </c>
      <c r="C88" s="123">
        <v>445.83333333333297</v>
      </c>
      <c r="D88" s="124" t="s">
        <v>69</v>
      </c>
      <c r="E88" s="14">
        <v>15000</v>
      </c>
      <c r="F88" s="14">
        <v>2900</v>
      </c>
      <c r="G88" s="14">
        <f>C88*E88</f>
        <v>6687499.9999999944</v>
      </c>
      <c r="H88" s="14">
        <f>C88*F88</f>
        <v>1292916.6666666656</v>
      </c>
      <c r="I88" s="16">
        <f t="shared" ref="I88:I91" si="14">G88+H88</f>
        <v>7980416.6666666605</v>
      </c>
      <c r="J88" s="111"/>
    </row>
    <row r="89" spans="1:10" x14ac:dyDescent="0.3">
      <c r="A89" s="200"/>
      <c r="B89" s="108" t="s">
        <v>90</v>
      </c>
      <c r="C89" s="123">
        <v>128.76999999999998</v>
      </c>
      <c r="D89" s="124" t="s">
        <v>69</v>
      </c>
      <c r="E89" s="14">
        <v>15000</v>
      </c>
      <c r="F89" s="14">
        <v>2900</v>
      </c>
      <c r="G89" s="14">
        <f>C89*E89</f>
        <v>1931549.9999999998</v>
      </c>
      <c r="H89" s="14">
        <f>C89*F89</f>
        <v>373432.99999999994</v>
      </c>
      <c r="I89" s="16">
        <f t="shared" si="14"/>
        <v>2304982.9999999995</v>
      </c>
      <c r="J89" s="111"/>
    </row>
    <row r="90" spans="1:10" x14ac:dyDescent="0.3">
      <c r="A90" s="200"/>
      <c r="B90" s="108" t="s">
        <v>91</v>
      </c>
      <c r="C90" s="123">
        <v>43.199999999999996</v>
      </c>
      <c r="D90" s="124" t="s">
        <v>31</v>
      </c>
      <c r="E90" s="14">
        <v>185000</v>
      </c>
      <c r="F90" s="14">
        <v>90000</v>
      </c>
      <c r="G90" s="14">
        <f>C90*E90</f>
        <v>7991999.9999999991</v>
      </c>
      <c r="H90" s="14">
        <f>C90*F90</f>
        <v>3887999.9999999995</v>
      </c>
      <c r="I90" s="16">
        <f t="shared" si="14"/>
        <v>11879999.999999998</v>
      </c>
      <c r="J90" s="111"/>
    </row>
    <row r="91" spans="1:10" x14ac:dyDescent="0.3">
      <c r="A91" s="200"/>
      <c r="B91" s="108" t="s">
        <v>92</v>
      </c>
      <c r="C91" s="123">
        <v>5.7080000000000002</v>
      </c>
      <c r="D91" s="124" t="s">
        <v>45</v>
      </c>
      <c r="E91" s="14">
        <v>2350000</v>
      </c>
      <c r="F91" s="14">
        <v>275000</v>
      </c>
      <c r="G91" s="14">
        <f>C91*E91</f>
        <v>13413800</v>
      </c>
      <c r="H91" s="14">
        <f>C91*F91</f>
        <v>1569700</v>
      </c>
      <c r="I91" s="16">
        <f t="shared" si="14"/>
        <v>14983500</v>
      </c>
      <c r="J91" s="111"/>
    </row>
    <row r="92" spans="1:10" x14ac:dyDescent="0.3">
      <c r="A92" s="200">
        <f>A87+1</f>
        <v>9</v>
      </c>
      <c r="B92" s="24" t="s">
        <v>93</v>
      </c>
      <c r="C92" s="42"/>
      <c r="D92" s="50"/>
      <c r="E92" s="14"/>
      <c r="F92" s="14"/>
      <c r="G92" s="14"/>
      <c r="H92" s="14"/>
      <c r="I92" s="16"/>
      <c r="J92" s="11"/>
    </row>
    <row r="93" spans="1:10" x14ac:dyDescent="0.3">
      <c r="A93" s="200"/>
      <c r="B93" s="108" t="s">
        <v>360</v>
      </c>
      <c r="C93" s="123">
        <v>209.31133333333298</v>
      </c>
      <c r="D93" s="124" t="s">
        <v>69</v>
      </c>
      <c r="E93" s="14">
        <v>15000</v>
      </c>
      <c r="F93" s="14">
        <v>2900</v>
      </c>
      <c r="G93" s="14">
        <f>C93*E93</f>
        <v>3139669.9999999949</v>
      </c>
      <c r="H93" s="14">
        <f>C93*F93</f>
        <v>607002.86666666565</v>
      </c>
      <c r="I93" s="16">
        <f t="shared" ref="I93:I96" si="15">G93+H93</f>
        <v>3746672.8666666606</v>
      </c>
      <c r="J93" s="111"/>
    </row>
    <row r="94" spans="1:10" x14ac:dyDescent="0.3">
      <c r="A94" s="200"/>
      <c r="B94" s="108" t="s">
        <v>90</v>
      </c>
      <c r="C94" s="123">
        <v>71.863666666666703</v>
      </c>
      <c r="D94" s="124" t="s">
        <v>69</v>
      </c>
      <c r="E94" s="14">
        <v>15000</v>
      </c>
      <c r="F94" s="14">
        <v>2900</v>
      </c>
      <c r="G94" s="14">
        <f>C94*E94</f>
        <v>1077955.0000000005</v>
      </c>
      <c r="H94" s="14">
        <f>C94*F94</f>
        <v>208404.63333333345</v>
      </c>
      <c r="I94" s="16">
        <f t="shared" si="15"/>
        <v>1286359.633333334</v>
      </c>
      <c r="J94" s="111"/>
    </row>
    <row r="95" spans="1:10" x14ac:dyDescent="0.3">
      <c r="A95" s="200"/>
      <c r="B95" s="108" t="s">
        <v>94</v>
      </c>
      <c r="C95" s="123">
        <v>33.327799999999996</v>
      </c>
      <c r="D95" s="124" t="s">
        <v>31</v>
      </c>
      <c r="E95" s="14">
        <v>185000</v>
      </c>
      <c r="F95" s="14">
        <v>90000</v>
      </c>
      <c r="G95" s="14">
        <f>C95*E95</f>
        <v>6165642.9999999991</v>
      </c>
      <c r="H95" s="14">
        <f>C95*F95</f>
        <v>2999501.9999999995</v>
      </c>
      <c r="I95" s="16">
        <f t="shared" si="15"/>
        <v>9165144.9999999981</v>
      </c>
      <c r="J95" s="111"/>
    </row>
    <row r="96" spans="1:10" x14ac:dyDescent="0.3">
      <c r="A96" s="200"/>
      <c r="B96" s="108" t="s">
        <v>95</v>
      </c>
      <c r="C96" s="123">
        <v>1.4219999999999999</v>
      </c>
      <c r="D96" s="124" t="s">
        <v>45</v>
      </c>
      <c r="E96" s="14">
        <v>2350000</v>
      </c>
      <c r="F96" s="14">
        <v>275000</v>
      </c>
      <c r="G96" s="14">
        <f>C96*E96</f>
        <v>3341700</v>
      </c>
      <c r="H96" s="14">
        <f>C96*F96</f>
        <v>391050</v>
      </c>
      <c r="I96" s="16">
        <f t="shared" si="15"/>
        <v>3732750</v>
      </c>
      <c r="J96" s="111"/>
    </row>
    <row r="97" spans="1:10" x14ac:dyDescent="0.3">
      <c r="A97" s="200">
        <f>A92+1</f>
        <v>10</v>
      </c>
      <c r="B97" s="13" t="s">
        <v>96</v>
      </c>
      <c r="C97" s="47"/>
      <c r="D97" s="48"/>
      <c r="E97" s="14"/>
      <c r="F97" s="14"/>
      <c r="G97" s="14"/>
      <c r="H97" s="14"/>
      <c r="I97" s="16"/>
      <c r="J97" s="11"/>
    </row>
    <row r="98" spans="1:10" x14ac:dyDescent="0.3">
      <c r="A98" s="200"/>
      <c r="B98" s="13" t="s">
        <v>63</v>
      </c>
      <c r="C98" s="42">
        <v>9.5918750000000035</v>
      </c>
      <c r="D98" s="51" t="s">
        <v>45</v>
      </c>
      <c r="E98" s="14">
        <v>1675000</v>
      </c>
      <c r="F98" s="14">
        <v>250000</v>
      </c>
      <c r="G98" s="14">
        <f t="shared" ref="G98:G103" si="16">C98*E98</f>
        <v>16066390.625000006</v>
      </c>
      <c r="H98" s="14">
        <f t="shared" ref="H98:H103" si="17">C98*F98</f>
        <v>2397968.7500000009</v>
      </c>
      <c r="I98" s="16">
        <f t="shared" ref="I98:I103" si="18">G98+H98</f>
        <v>18464359.375000007</v>
      </c>
      <c r="J98" s="11"/>
    </row>
    <row r="99" spans="1:10" x14ac:dyDescent="0.3">
      <c r="A99" s="200"/>
      <c r="B99" s="13" t="s">
        <v>97</v>
      </c>
      <c r="C99" s="42">
        <v>4795.9375000000018</v>
      </c>
      <c r="D99" s="51" t="s">
        <v>69</v>
      </c>
      <c r="E99" s="14">
        <v>15000</v>
      </c>
      <c r="F99" s="14">
        <v>2900</v>
      </c>
      <c r="G99" s="14">
        <f t="shared" si="16"/>
        <v>71939062.50000003</v>
      </c>
      <c r="H99" s="14">
        <f t="shared" si="17"/>
        <v>13908218.750000006</v>
      </c>
      <c r="I99" s="16">
        <f t="shared" si="18"/>
        <v>85847281.25000003</v>
      </c>
      <c r="J99" s="11"/>
    </row>
    <row r="100" spans="1:10" x14ac:dyDescent="0.3">
      <c r="A100" s="200"/>
      <c r="B100" s="13" t="s">
        <v>98</v>
      </c>
      <c r="C100" s="42">
        <v>946.39833333333365</v>
      </c>
      <c r="D100" s="51" t="s">
        <v>69</v>
      </c>
      <c r="E100" s="14">
        <v>15000</v>
      </c>
      <c r="F100" s="14">
        <v>2900</v>
      </c>
      <c r="G100" s="14">
        <f t="shared" si="16"/>
        <v>14195975.000000006</v>
      </c>
      <c r="H100" s="14">
        <f t="shared" si="17"/>
        <v>2744555.1666666674</v>
      </c>
      <c r="I100" s="16">
        <f t="shared" si="18"/>
        <v>16940530.166666672</v>
      </c>
      <c r="J100" s="11"/>
    </row>
    <row r="101" spans="1:10" x14ac:dyDescent="0.3">
      <c r="A101" s="200"/>
      <c r="B101" s="13" t="s">
        <v>99</v>
      </c>
      <c r="C101" s="42">
        <v>3031.0325000000016</v>
      </c>
      <c r="D101" s="51" t="s">
        <v>69</v>
      </c>
      <c r="E101" s="14">
        <v>15000</v>
      </c>
      <c r="F101" s="14">
        <v>2900</v>
      </c>
      <c r="G101" s="14">
        <f t="shared" si="16"/>
        <v>45465487.500000022</v>
      </c>
      <c r="H101" s="14">
        <f t="shared" si="17"/>
        <v>8789994.2500000056</v>
      </c>
      <c r="I101" s="16">
        <f t="shared" si="18"/>
        <v>54255481.75000003</v>
      </c>
      <c r="J101" s="11"/>
    </row>
    <row r="102" spans="1:10" x14ac:dyDescent="0.3">
      <c r="A102" s="200"/>
      <c r="B102" s="13" t="s">
        <v>100</v>
      </c>
      <c r="C102" s="42">
        <v>767.35000000000025</v>
      </c>
      <c r="D102" s="51" t="s">
        <v>31</v>
      </c>
      <c r="E102" s="14">
        <v>150000</v>
      </c>
      <c r="F102" s="14">
        <v>75000</v>
      </c>
      <c r="G102" s="14">
        <f t="shared" si="16"/>
        <v>115102500.00000004</v>
      </c>
      <c r="H102" s="14">
        <f t="shared" si="17"/>
        <v>57551250.000000022</v>
      </c>
      <c r="I102" s="16">
        <f t="shared" si="18"/>
        <v>172653750.00000006</v>
      </c>
      <c r="J102" s="11"/>
    </row>
    <row r="103" spans="1:10" x14ac:dyDescent="0.3">
      <c r="A103" s="200"/>
      <c r="B103" s="13" t="s">
        <v>101</v>
      </c>
      <c r="C103" s="42">
        <v>95.918750000000031</v>
      </c>
      <c r="D103" s="51" t="s">
        <v>45</v>
      </c>
      <c r="E103" s="14">
        <v>2350000</v>
      </c>
      <c r="F103" s="14">
        <v>275000</v>
      </c>
      <c r="G103" s="14">
        <f t="shared" si="16"/>
        <v>225409062.50000006</v>
      </c>
      <c r="H103" s="14">
        <f t="shared" si="17"/>
        <v>26377656.250000007</v>
      </c>
      <c r="I103" s="16">
        <f t="shared" si="18"/>
        <v>251786718.75000006</v>
      </c>
      <c r="J103" s="11"/>
    </row>
    <row r="104" spans="1:10" x14ac:dyDescent="0.3">
      <c r="A104" s="191">
        <f>A97+1</f>
        <v>11</v>
      </c>
      <c r="B104" s="13" t="s">
        <v>102</v>
      </c>
      <c r="C104" s="42"/>
      <c r="D104" s="50"/>
      <c r="E104" s="14"/>
      <c r="F104" s="14"/>
      <c r="G104" s="14"/>
      <c r="H104" s="14"/>
      <c r="I104" s="16"/>
      <c r="J104" s="11"/>
    </row>
    <row r="105" spans="1:10" x14ac:dyDescent="0.3">
      <c r="A105" s="191"/>
      <c r="B105" s="13" t="s">
        <v>63</v>
      </c>
      <c r="C105" s="42">
        <v>3.5295000000000001</v>
      </c>
      <c r="D105" s="51" t="s">
        <v>45</v>
      </c>
      <c r="E105" s="14">
        <v>1675000</v>
      </c>
      <c r="F105" s="14">
        <v>250000</v>
      </c>
      <c r="G105" s="14">
        <f>C105*E105</f>
        <v>5911912.5</v>
      </c>
      <c r="H105" s="14">
        <f>C105*F105</f>
        <v>882375</v>
      </c>
      <c r="I105" s="16">
        <f t="shared" ref="I105:I109" si="19">G105+H105</f>
        <v>6794287.5</v>
      </c>
      <c r="J105" s="11"/>
    </row>
    <row r="106" spans="1:10" x14ac:dyDescent="0.3">
      <c r="A106" s="191"/>
      <c r="B106" s="13" t="s">
        <v>103</v>
      </c>
      <c r="C106" s="42">
        <v>1678.4733333333334</v>
      </c>
      <c r="D106" s="51" t="s">
        <v>69</v>
      </c>
      <c r="E106" s="14">
        <v>15000</v>
      </c>
      <c r="F106" s="14">
        <v>2900</v>
      </c>
      <c r="G106" s="14">
        <f>C106*E106</f>
        <v>25177100</v>
      </c>
      <c r="H106" s="14">
        <f>C106*F106</f>
        <v>4867572.666666667</v>
      </c>
      <c r="I106" s="16">
        <f t="shared" si="19"/>
        <v>30044672.666666668</v>
      </c>
      <c r="J106" s="11"/>
    </row>
    <row r="107" spans="1:10" x14ac:dyDescent="0.3">
      <c r="A107" s="191"/>
      <c r="B107" s="13" t="s">
        <v>104</v>
      </c>
      <c r="C107" s="42">
        <v>743.54800000000012</v>
      </c>
      <c r="D107" s="51" t="s">
        <v>69</v>
      </c>
      <c r="E107" s="14">
        <v>15000</v>
      </c>
      <c r="F107" s="14">
        <v>2900</v>
      </c>
      <c r="G107" s="14">
        <f>C107*E107</f>
        <v>11153220.000000002</v>
      </c>
      <c r="H107" s="14">
        <f>C107*F107</f>
        <v>2156289.2000000002</v>
      </c>
      <c r="I107" s="16">
        <f t="shared" si="19"/>
        <v>13309509.200000003</v>
      </c>
      <c r="J107" s="11"/>
    </row>
    <row r="108" spans="1:10" x14ac:dyDescent="0.3">
      <c r="A108" s="191"/>
      <c r="B108" s="13" t="s">
        <v>105</v>
      </c>
      <c r="C108" s="42">
        <v>235.3</v>
      </c>
      <c r="D108" s="51" t="s">
        <v>31</v>
      </c>
      <c r="E108" s="14">
        <v>150000</v>
      </c>
      <c r="F108" s="14">
        <v>75000</v>
      </c>
      <c r="G108" s="14">
        <f>C108*E108</f>
        <v>35295000</v>
      </c>
      <c r="H108" s="14">
        <f>C108*F108</f>
        <v>17647500</v>
      </c>
      <c r="I108" s="16">
        <f t="shared" si="19"/>
        <v>52942500</v>
      </c>
      <c r="J108" s="11"/>
    </row>
    <row r="109" spans="1:10" x14ac:dyDescent="0.3">
      <c r="A109" s="191"/>
      <c r="B109" s="13" t="s">
        <v>106</v>
      </c>
      <c r="C109" s="42">
        <v>17.647500000000001</v>
      </c>
      <c r="D109" s="51" t="s">
        <v>45</v>
      </c>
      <c r="E109" s="14">
        <v>2350000</v>
      </c>
      <c r="F109" s="14">
        <v>275000</v>
      </c>
      <c r="G109" s="14">
        <f>C109*E109</f>
        <v>41471625</v>
      </c>
      <c r="H109" s="14">
        <f>C109*F109</f>
        <v>4853062.5</v>
      </c>
      <c r="I109" s="16">
        <f t="shared" si="19"/>
        <v>46324687.5</v>
      </c>
      <c r="J109" s="11"/>
    </row>
    <row r="110" spans="1:10" x14ac:dyDescent="0.3">
      <c r="A110" s="191">
        <f>A104+1</f>
        <v>12</v>
      </c>
      <c r="B110" s="13" t="s">
        <v>107</v>
      </c>
      <c r="C110" s="42"/>
      <c r="D110" s="50"/>
      <c r="E110" s="14"/>
      <c r="F110" s="14"/>
      <c r="G110" s="14"/>
      <c r="H110" s="14"/>
      <c r="I110" s="16"/>
      <c r="J110" s="11"/>
    </row>
    <row r="111" spans="1:10" x14ac:dyDescent="0.3">
      <c r="A111" s="191"/>
      <c r="B111" s="115" t="s">
        <v>63</v>
      </c>
      <c r="C111" s="125">
        <v>94.711250000000007</v>
      </c>
      <c r="D111" s="126" t="s">
        <v>45</v>
      </c>
      <c r="E111" s="14">
        <v>1675000</v>
      </c>
      <c r="F111" s="14">
        <v>250000</v>
      </c>
      <c r="G111" s="14">
        <f>C111*E111</f>
        <v>158641343.75</v>
      </c>
      <c r="H111" s="14">
        <f>C111*F111</f>
        <v>23677812.5</v>
      </c>
      <c r="I111" s="16">
        <f t="shared" ref="I111:I115" si="20">G111+H111</f>
        <v>182319156.25</v>
      </c>
      <c r="J111" s="118"/>
    </row>
    <row r="112" spans="1:10" x14ac:dyDescent="0.3">
      <c r="A112" s="191"/>
      <c r="B112" s="115" t="s">
        <v>108</v>
      </c>
      <c r="C112" s="125">
        <v>1894.2249999999999</v>
      </c>
      <c r="D112" s="126" t="s">
        <v>31</v>
      </c>
      <c r="E112" s="14">
        <v>10000</v>
      </c>
      <c r="F112" s="14">
        <v>3500</v>
      </c>
      <c r="G112" s="14">
        <f>C112*E112</f>
        <v>18942250</v>
      </c>
      <c r="H112" s="14">
        <f>C112*F112</f>
        <v>6629787.5</v>
      </c>
      <c r="I112" s="16">
        <f t="shared" si="20"/>
        <v>25572037.5</v>
      </c>
      <c r="J112" s="118"/>
    </row>
    <row r="113" spans="1:10" x14ac:dyDescent="0.3">
      <c r="A113" s="191"/>
      <c r="B113" s="115" t="s">
        <v>109</v>
      </c>
      <c r="C113" s="125">
        <v>5806.2840388007044</v>
      </c>
      <c r="D113" s="126" t="s">
        <v>69</v>
      </c>
      <c r="E113" s="14">
        <v>14750</v>
      </c>
      <c r="F113" s="14">
        <v>2750</v>
      </c>
      <c r="G113" s="14">
        <f>C113*E113</f>
        <v>85642689.572310388</v>
      </c>
      <c r="H113" s="14">
        <f>C113*F113</f>
        <v>15967281.106701937</v>
      </c>
      <c r="I113" s="16">
        <f t="shared" si="20"/>
        <v>101609970.67901233</v>
      </c>
      <c r="J113" s="118"/>
    </row>
    <row r="114" spans="1:10" x14ac:dyDescent="0.3">
      <c r="A114" s="191"/>
      <c r="B114" s="13" t="s">
        <v>110</v>
      </c>
      <c r="C114" s="42">
        <v>44.352000000000004</v>
      </c>
      <c r="D114" s="51" t="s">
        <v>31</v>
      </c>
      <c r="E114" s="14">
        <v>150000</v>
      </c>
      <c r="F114" s="14">
        <v>75000</v>
      </c>
      <c r="G114" s="14">
        <f>C114*E114</f>
        <v>6652800.0000000009</v>
      </c>
      <c r="H114" s="14">
        <f>C114*F114</f>
        <v>3326400.0000000005</v>
      </c>
      <c r="I114" s="16">
        <f t="shared" si="20"/>
        <v>9979200.0000000019</v>
      </c>
      <c r="J114" s="11"/>
    </row>
    <row r="115" spans="1:10" x14ac:dyDescent="0.3">
      <c r="A115" s="191"/>
      <c r="B115" s="115" t="s">
        <v>111</v>
      </c>
      <c r="C115" s="125">
        <v>189.42250000000001</v>
      </c>
      <c r="D115" s="126" t="s">
        <v>45</v>
      </c>
      <c r="E115" s="14">
        <v>2350000</v>
      </c>
      <c r="F115" s="14">
        <v>275000</v>
      </c>
      <c r="G115" s="14">
        <f>C115*E115</f>
        <v>445142875.00000006</v>
      </c>
      <c r="H115" s="14">
        <f>C115*F115</f>
        <v>52091187.500000007</v>
      </c>
      <c r="I115" s="16">
        <f t="shared" si="20"/>
        <v>497234062.50000006</v>
      </c>
      <c r="J115" s="118"/>
    </row>
    <row r="116" spans="1:10" x14ac:dyDescent="0.3">
      <c r="A116" s="191">
        <f>A110+1</f>
        <v>13</v>
      </c>
      <c r="B116" s="13" t="s">
        <v>112</v>
      </c>
      <c r="C116" s="42"/>
      <c r="D116" s="50"/>
      <c r="E116" s="14"/>
      <c r="F116" s="14"/>
      <c r="G116" s="14"/>
      <c r="H116" s="14"/>
      <c r="I116" s="16"/>
      <c r="J116" s="11"/>
    </row>
    <row r="117" spans="1:10" x14ac:dyDescent="0.3">
      <c r="A117" s="191"/>
      <c r="B117" s="115" t="s">
        <v>113</v>
      </c>
      <c r="C117" s="125">
        <v>530.5</v>
      </c>
      <c r="D117" s="126" t="s">
        <v>45</v>
      </c>
      <c r="E117" s="14">
        <v>525000</v>
      </c>
      <c r="F117" s="14">
        <v>120000</v>
      </c>
      <c r="G117" s="14">
        <f>C117*E117</f>
        <v>278512500</v>
      </c>
      <c r="H117" s="14">
        <f>C117*F117</f>
        <v>63660000</v>
      </c>
      <c r="I117" s="16">
        <f t="shared" ref="I117" si="21">G117+H117</f>
        <v>342172500</v>
      </c>
      <c r="J117" s="118"/>
    </row>
    <row r="118" spans="1:10" x14ac:dyDescent="0.3">
      <c r="A118" s="191">
        <f>A116+1</f>
        <v>14</v>
      </c>
      <c r="B118" s="13" t="s">
        <v>114</v>
      </c>
      <c r="C118" s="42"/>
      <c r="D118" s="50"/>
      <c r="E118" s="14"/>
      <c r="F118" s="14"/>
      <c r="G118" s="14"/>
      <c r="H118" s="14"/>
      <c r="I118" s="16"/>
      <c r="J118" s="11"/>
    </row>
    <row r="119" spans="1:10" ht="15" thickBot="1" x14ac:dyDescent="0.35">
      <c r="A119" s="191"/>
      <c r="B119" s="115" t="s">
        <v>113</v>
      </c>
      <c r="C119" s="127">
        <v>313.66999999999996</v>
      </c>
      <c r="D119" s="128" t="s">
        <v>31</v>
      </c>
      <c r="E119" s="14">
        <v>525000</v>
      </c>
      <c r="F119" s="14">
        <v>120000</v>
      </c>
      <c r="G119" s="14">
        <f>C119*E119</f>
        <v>164676749.99999997</v>
      </c>
      <c r="H119" s="14">
        <f>C119*F119</f>
        <v>37640399.999999993</v>
      </c>
      <c r="I119" s="16">
        <f t="shared" ref="I119" si="22">G119+H119</f>
        <v>202317149.99999997</v>
      </c>
      <c r="J119" s="118"/>
    </row>
    <row r="120" spans="1:10" x14ac:dyDescent="0.3">
      <c r="A120" s="204" t="s">
        <v>115</v>
      </c>
      <c r="B120" s="193"/>
      <c r="C120" s="193"/>
      <c r="D120" s="193"/>
      <c r="E120" s="91"/>
      <c r="F120" s="91"/>
      <c r="G120" s="91"/>
      <c r="H120" s="92"/>
      <c r="I120" s="23">
        <f>SUM(I54:I119)</f>
        <v>4071607749.1673455</v>
      </c>
      <c r="J120" s="11"/>
    </row>
    <row r="121" spans="1:10" x14ac:dyDescent="0.3">
      <c r="A121" s="129" t="s">
        <v>116</v>
      </c>
      <c r="B121" s="103" t="s">
        <v>117</v>
      </c>
      <c r="C121" s="130"/>
      <c r="D121" s="103"/>
      <c r="E121" s="14"/>
      <c r="F121" s="14"/>
      <c r="G121" s="14"/>
      <c r="H121" s="14"/>
      <c r="I121" s="20"/>
      <c r="J121" s="11"/>
    </row>
    <row r="122" spans="1:10" ht="15" thickBot="1" x14ac:dyDescent="0.35">
      <c r="A122" s="191">
        <v>1</v>
      </c>
      <c r="B122" s="24" t="s">
        <v>118</v>
      </c>
      <c r="C122" s="131"/>
      <c r="D122" s="132"/>
      <c r="E122" s="14"/>
      <c r="F122" s="14"/>
      <c r="G122" s="14"/>
      <c r="H122" s="14"/>
      <c r="I122" s="20"/>
      <c r="J122" s="11"/>
    </row>
    <row r="123" spans="1:10" x14ac:dyDescent="0.3">
      <c r="A123" s="191"/>
      <c r="B123" s="24" t="s">
        <v>119</v>
      </c>
      <c r="C123" s="114">
        <v>4677.119999999999</v>
      </c>
      <c r="D123" s="46" t="s">
        <v>69</v>
      </c>
      <c r="E123" s="14">
        <v>27500</v>
      </c>
      <c r="F123" s="14">
        <v>8500</v>
      </c>
      <c r="G123" s="14">
        <f t="shared" ref="G123:G148" si="23">C123*E123</f>
        <v>128620799.99999997</v>
      </c>
      <c r="H123" s="14">
        <f t="shared" ref="H123:H148" si="24">C123*F123</f>
        <v>39755519.999999993</v>
      </c>
      <c r="I123" s="16">
        <f t="shared" ref="I123:I148" si="25">G123+H123</f>
        <v>168376319.99999997</v>
      </c>
      <c r="J123" s="11"/>
    </row>
    <row r="124" spans="1:10" x14ac:dyDescent="0.3">
      <c r="A124" s="191"/>
      <c r="B124" s="24" t="s">
        <v>120</v>
      </c>
      <c r="C124" s="42">
        <v>3306</v>
      </c>
      <c r="D124" s="51" t="s">
        <v>69</v>
      </c>
      <c r="E124" s="14">
        <v>27500</v>
      </c>
      <c r="F124" s="14">
        <v>8500</v>
      </c>
      <c r="G124" s="14">
        <f t="shared" si="23"/>
        <v>90915000</v>
      </c>
      <c r="H124" s="14">
        <f t="shared" si="24"/>
        <v>28101000</v>
      </c>
      <c r="I124" s="16">
        <f t="shared" si="25"/>
        <v>119016000</v>
      </c>
      <c r="J124" s="11"/>
    </row>
    <row r="125" spans="1:10" x14ac:dyDescent="0.3">
      <c r="A125" s="191"/>
      <c r="B125" s="115" t="s">
        <v>121</v>
      </c>
      <c r="C125" s="125">
        <v>2588.25</v>
      </c>
      <c r="D125" s="133" t="s">
        <v>69</v>
      </c>
      <c r="E125" s="14">
        <v>27500</v>
      </c>
      <c r="F125" s="14">
        <v>8500</v>
      </c>
      <c r="G125" s="14">
        <f t="shared" si="23"/>
        <v>71176875</v>
      </c>
      <c r="H125" s="14">
        <f t="shared" si="24"/>
        <v>22000125</v>
      </c>
      <c r="I125" s="16">
        <f t="shared" si="25"/>
        <v>93177000</v>
      </c>
      <c r="J125" s="118"/>
    </row>
    <row r="126" spans="1:10" x14ac:dyDescent="0.3">
      <c r="A126" s="191"/>
      <c r="B126" s="108" t="s">
        <v>122</v>
      </c>
      <c r="C126" s="123">
        <v>3980.17</v>
      </c>
      <c r="D126" s="110" t="s">
        <v>69</v>
      </c>
      <c r="E126" s="14">
        <v>27500</v>
      </c>
      <c r="F126" s="14">
        <v>8500</v>
      </c>
      <c r="G126" s="14">
        <f t="shared" si="23"/>
        <v>109454675</v>
      </c>
      <c r="H126" s="14">
        <f t="shared" si="24"/>
        <v>33831445</v>
      </c>
      <c r="I126" s="16">
        <f t="shared" si="25"/>
        <v>143286120</v>
      </c>
      <c r="J126" s="111"/>
    </row>
    <row r="127" spans="1:10" x14ac:dyDescent="0.3">
      <c r="A127" s="191"/>
      <c r="B127" s="108" t="s">
        <v>123</v>
      </c>
      <c r="C127" s="123">
        <v>3901.86</v>
      </c>
      <c r="D127" s="110" t="s">
        <v>69</v>
      </c>
      <c r="E127" s="14">
        <v>27500</v>
      </c>
      <c r="F127" s="14">
        <v>8500</v>
      </c>
      <c r="G127" s="14">
        <f t="shared" si="23"/>
        <v>107301150</v>
      </c>
      <c r="H127" s="14">
        <f t="shared" si="24"/>
        <v>33165810</v>
      </c>
      <c r="I127" s="16">
        <f t="shared" si="25"/>
        <v>140466960</v>
      </c>
      <c r="J127" s="111"/>
    </row>
    <row r="128" spans="1:10" x14ac:dyDescent="0.3">
      <c r="A128" s="191"/>
      <c r="B128" s="115" t="s">
        <v>124</v>
      </c>
      <c r="C128" s="125">
        <v>1479</v>
      </c>
      <c r="D128" s="133" t="s">
        <v>69</v>
      </c>
      <c r="E128" s="14">
        <v>27500</v>
      </c>
      <c r="F128" s="14">
        <v>8500</v>
      </c>
      <c r="G128" s="14">
        <f t="shared" si="23"/>
        <v>40672500</v>
      </c>
      <c r="H128" s="14">
        <f t="shared" si="24"/>
        <v>12571500</v>
      </c>
      <c r="I128" s="16">
        <f t="shared" si="25"/>
        <v>53244000</v>
      </c>
      <c r="J128" s="118"/>
    </row>
    <row r="129" spans="1:10" x14ac:dyDescent="0.3">
      <c r="A129" s="191"/>
      <c r="B129" s="24" t="s">
        <v>125</v>
      </c>
      <c r="C129" s="60">
        <v>12965.119999999995</v>
      </c>
      <c r="D129" s="51" t="s">
        <v>69</v>
      </c>
      <c r="E129" s="14">
        <v>27500</v>
      </c>
      <c r="F129" s="14">
        <v>8500</v>
      </c>
      <c r="G129" s="14">
        <f t="shared" si="23"/>
        <v>356540799.99999988</v>
      </c>
      <c r="H129" s="14">
        <f t="shared" si="24"/>
        <v>110203519.99999996</v>
      </c>
      <c r="I129" s="16">
        <f t="shared" si="25"/>
        <v>466744319.99999982</v>
      </c>
      <c r="J129" s="11"/>
    </row>
    <row r="130" spans="1:10" x14ac:dyDescent="0.3">
      <c r="A130" s="191"/>
      <c r="B130" s="24" t="s">
        <v>126</v>
      </c>
      <c r="C130" s="60">
        <v>15439.096</v>
      </c>
      <c r="D130" s="51" t="s">
        <v>69</v>
      </c>
      <c r="E130" s="14">
        <v>27500</v>
      </c>
      <c r="F130" s="14">
        <v>8500</v>
      </c>
      <c r="G130" s="14">
        <f t="shared" si="23"/>
        <v>424575140</v>
      </c>
      <c r="H130" s="14">
        <f t="shared" si="24"/>
        <v>131232316</v>
      </c>
      <c r="I130" s="16">
        <f t="shared" si="25"/>
        <v>555807456</v>
      </c>
      <c r="J130" s="11"/>
    </row>
    <row r="131" spans="1:10" x14ac:dyDescent="0.3">
      <c r="A131" s="191"/>
      <c r="B131" s="24" t="s">
        <v>127</v>
      </c>
      <c r="C131" s="42">
        <v>2604</v>
      </c>
      <c r="D131" s="51" t="s">
        <v>69</v>
      </c>
      <c r="E131" s="14">
        <v>27500</v>
      </c>
      <c r="F131" s="14">
        <v>8500</v>
      </c>
      <c r="G131" s="14">
        <f t="shared" si="23"/>
        <v>71610000</v>
      </c>
      <c r="H131" s="14">
        <f t="shared" si="24"/>
        <v>22134000</v>
      </c>
      <c r="I131" s="16">
        <f t="shared" si="25"/>
        <v>93744000</v>
      </c>
      <c r="J131" s="11"/>
    </row>
    <row r="132" spans="1:10" x14ac:dyDescent="0.3">
      <c r="A132" s="191"/>
      <c r="B132" s="24" t="s">
        <v>128</v>
      </c>
      <c r="C132" s="60">
        <v>7782.5</v>
      </c>
      <c r="D132" s="51" t="s">
        <v>69</v>
      </c>
      <c r="E132" s="14">
        <v>27500</v>
      </c>
      <c r="F132" s="14">
        <v>8500</v>
      </c>
      <c r="G132" s="14">
        <f t="shared" si="23"/>
        <v>214018750</v>
      </c>
      <c r="H132" s="14">
        <f t="shared" si="24"/>
        <v>66151250</v>
      </c>
      <c r="I132" s="16">
        <f t="shared" si="25"/>
        <v>280170000</v>
      </c>
      <c r="J132" s="11"/>
    </row>
    <row r="133" spans="1:10" x14ac:dyDescent="0.3">
      <c r="A133" s="191"/>
      <c r="B133" s="24" t="s">
        <v>129</v>
      </c>
      <c r="C133" s="60">
        <v>591.66666666666674</v>
      </c>
      <c r="D133" s="51" t="s">
        <v>69</v>
      </c>
      <c r="E133" s="14">
        <v>27500</v>
      </c>
      <c r="F133" s="14">
        <v>8500</v>
      </c>
      <c r="G133" s="14">
        <f t="shared" si="23"/>
        <v>16270833.333333336</v>
      </c>
      <c r="H133" s="14">
        <f t="shared" si="24"/>
        <v>5029166.666666667</v>
      </c>
      <c r="I133" s="16">
        <f t="shared" si="25"/>
        <v>21300000.000000004</v>
      </c>
      <c r="J133" s="11"/>
    </row>
    <row r="134" spans="1:10" x14ac:dyDescent="0.3">
      <c r="A134" s="191"/>
      <c r="B134" s="108" t="s">
        <v>130</v>
      </c>
      <c r="C134" s="134">
        <v>13314.157999999999</v>
      </c>
      <c r="D134" s="135" t="s">
        <v>69</v>
      </c>
      <c r="E134" s="14">
        <v>27500</v>
      </c>
      <c r="F134" s="14">
        <v>8500</v>
      </c>
      <c r="G134" s="14">
        <f t="shared" si="23"/>
        <v>366139345</v>
      </c>
      <c r="H134" s="14">
        <f t="shared" si="24"/>
        <v>113170343</v>
      </c>
      <c r="I134" s="16">
        <f t="shared" si="25"/>
        <v>479309688</v>
      </c>
      <c r="J134" s="111"/>
    </row>
    <row r="135" spans="1:10" x14ac:dyDescent="0.3">
      <c r="A135" s="191"/>
      <c r="B135" s="24" t="s">
        <v>131</v>
      </c>
      <c r="C135" s="49">
        <v>2058.1960000000004</v>
      </c>
      <c r="D135" s="51" t="s">
        <v>69</v>
      </c>
      <c r="E135" s="14">
        <v>27500</v>
      </c>
      <c r="F135" s="14">
        <v>8500</v>
      </c>
      <c r="G135" s="14">
        <f t="shared" si="23"/>
        <v>56600390.000000007</v>
      </c>
      <c r="H135" s="14">
        <f t="shared" si="24"/>
        <v>17494666.000000004</v>
      </c>
      <c r="I135" s="16">
        <f t="shared" si="25"/>
        <v>74095056.000000015</v>
      </c>
      <c r="J135" s="11"/>
    </row>
    <row r="136" spans="1:10" x14ac:dyDescent="0.3">
      <c r="A136" s="191"/>
      <c r="B136" s="24" t="s">
        <v>132</v>
      </c>
      <c r="C136" s="60">
        <v>18623.592000000001</v>
      </c>
      <c r="D136" s="51" t="s">
        <v>69</v>
      </c>
      <c r="E136" s="14">
        <v>27500</v>
      </c>
      <c r="F136" s="14">
        <v>8500</v>
      </c>
      <c r="G136" s="14">
        <f t="shared" si="23"/>
        <v>512148780</v>
      </c>
      <c r="H136" s="14">
        <f t="shared" si="24"/>
        <v>158300532</v>
      </c>
      <c r="I136" s="16">
        <f t="shared" si="25"/>
        <v>670449312</v>
      </c>
      <c r="J136" s="11"/>
    </row>
    <row r="137" spans="1:10" x14ac:dyDescent="0.3">
      <c r="A137" s="191"/>
      <c r="B137" s="115" t="s">
        <v>133</v>
      </c>
      <c r="C137" s="116">
        <v>595</v>
      </c>
      <c r="D137" s="117" t="s">
        <v>69</v>
      </c>
      <c r="E137" s="14">
        <v>27500</v>
      </c>
      <c r="F137" s="14">
        <v>8500</v>
      </c>
      <c r="G137" s="14">
        <f t="shared" si="23"/>
        <v>16362500</v>
      </c>
      <c r="H137" s="14">
        <f t="shared" si="24"/>
        <v>5057500</v>
      </c>
      <c r="I137" s="16">
        <f t="shared" si="25"/>
        <v>21420000</v>
      </c>
      <c r="J137" s="118"/>
    </row>
    <row r="138" spans="1:10" x14ac:dyDescent="0.3">
      <c r="A138" s="191"/>
      <c r="B138" s="115" t="s">
        <v>134</v>
      </c>
      <c r="C138" s="116">
        <v>2288</v>
      </c>
      <c r="D138" s="117" t="s">
        <v>69</v>
      </c>
      <c r="E138" s="14">
        <v>27500</v>
      </c>
      <c r="F138" s="14">
        <v>8500</v>
      </c>
      <c r="G138" s="14">
        <f t="shared" si="23"/>
        <v>62920000</v>
      </c>
      <c r="H138" s="14">
        <f t="shared" si="24"/>
        <v>19448000</v>
      </c>
      <c r="I138" s="16">
        <f t="shared" si="25"/>
        <v>82368000</v>
      </c>
      <c r="J138" s="118"/>
    </row>
    <row r="139" spans="1:10" x14ac:dyDescent="0.3">
      <c r="A139" s="191"/>
      <c r="B139" s="115" t="s">
        <v>135</v>
      </c>
      <c r="C139" s="116">
        <v>641.95833333333337</v>
      </c>
      <c r="D139" s="117" t="s">
        <v>69</v>
      </c>
      <c r="E139" s="14">
        <v>27500</v>
      </c>
      <c r="F139" s="14">
        <v>8500</v>
      </c>
      <c r="G139" s="14">
        <f t="shared" si="23"/>
        <v>17653854.166666668</v>
      </c>
      <c r="H139" s="14">
        <f t="shared" si="24"/>
        <v>5456645.833333334</v>
      </c>
      <c r="I139" s="16">
        <f t="shared" si="25"/>
        <v>23110500</v>
      </c>
      <c r="J139" s="111"/>
    </row>
    <row r="140" spans="1:10" x14ac:dyDescent="0.3">
      <c r="A140" s="191"/>
      <c r="B140" s="108" t="s">
        <v>136</v>
      </c>
      <c r="C140" s="123">
        <v>642.13333333333298</v>
      </c>
      <c r="D140" s="124" t="s">
        <v>69</v>
      </c>
      <c r="E140" s="14">
        <v>27500</v>
      </c>
      <c r="F140" s="14">
        <v>8500</v>
      </c>
      <c r="G140" s="14">
        <f t="shared" si="23"/>
        <v>17658666.666666657</v>
      </c>
      <c r="H140" s="14">
        <f t="shared" si="24"/>
        <v>5458133.3333333302</v>
      </c>
      <c r="I140" s="16">
        <f t="shared" si="25"/>
        <v>23116799.999999985</v>
      </c>
      <c r="J140" s="111"/>
    </row>
    <row r="141" spans="1:10" x14ac:dyDescent="0.3">
      <c r="A141" s="191"/>
      <c r="B141" s="115" t="s">
        <v>137</v>
      </c>
      <c r="C141" s="116">
        <v>2782.42</v>
      </c>
      <c r="D141" s="117" t="s">
        <v>69</v>
      </c>
      <c r="E141" s="14">
        <v>27500</v>
      </c>
      <c r="F141" s="14">
        <v>8500</v>
      </c>
      <c r="G141" s="14">
        <f t="shared" si="23"/>
        <v>76516550</v>
      </c>
      <c r="H141" s="14">
        <f t="shared" si="24"/>
        <v>23650570</v>
      </c>
      <c r="I141" s="16">
        <f t="shared" si="25"/>
        <v>100167120</v>
      </c>
      <c r="J141" s="118"/>
    </row>
    <row r="142" spans="1:10" x14ac:dyDescent="0.3">
      <c r="A142" s="191"/>
      <c r="B142" s="108" t="s">
        <v>138</v>
      </c>
      <c r="C142" s="123">
        <v>558.52480099999991</v>
      </c>
      <c r="D142" s="124" t="s">
        <v>69</v>
      </c>
      <c r="E142" s="14">
        <v>27500</v>
      </c>
      <c r="F142" s="14">
        <v>8500</v>
      </c>
      <c r="G142" s="14">
        <f t="shared" si="23"/>
        <v>15359432.027499998</v>
      </c>
      <c r="H142" s="14">
        <f t="shared" si="24"/>
        <v>4747460.8084999993</v>
      </c>
      <c r="I142" s="16">
        <f t="shared" si="25"/>
        <v>20106892.835999995</v>
      </c>
      <c r="J142" s="111"/>
    </row>
    <row r="143" spans="1:10" x14ac:dyDescent="0.3">
      <c r="A143" s="191"/>
      <c r="B143" s="108" t="s">
        <v>139</v>
      </c>
      <c r="C143" s="123">
        <v>733.27300000000002</v>
      </c>
      <c r="D143" s="124" t="s">
        <v>69</v>
      </c>
      <c r="E143" s="14">
        <v>27500</v>
      </c>
      <c r="F143" s="14">
        <v>8500</v>
      </c>
      <c r="G143" s="14">
        <f t="shared" si="23"/>
        <v>20165007.5</v>
      </c>
      <c r="H143" s="14">
        <f t="shared" si="24"/>
        <v>6232820.5</v>
      </c>
      <c r="I143" s="16">
        <f t="shared" si="25"/>
        <v>26397828</v>
      </c>
      <c r="J143" s="111"/>
    </row>
    <row r="144" spans="1:10" x14ac:dyDescent="0.3">
      <c r="A144" s="191"/>
      <c r="B144" s="108" t="s">
        <v>140</v>
      </c>
      <c r="C144" s="123">
        <v>2897</v>
      </c>
      <c r="D144" s="124" t="s">
        <v>141</v>
      </c>
      <c r="E144" s="14">
        <v>16500</v>
      </c>
      <c r="F144" s="14">
        <v>3500</v>
      </c>
      <c r="G144" s="14">
        <f t="shared" si="23"/>
        <v>47800500</v>
      </c>
      <c r="H144" s="14">
        <f t="shared" si="24"/>
        <v>10139500</v>
      </c>
      <c r="I144" s="16">
        <f t="shared" si="25"/>
        <v>57940000</v>
      </c>
      <c r="J144" s="111"/>
    </row>
    <row r="145" spans="1:10" x14ac:dyDescent="0.3">
      <c r="A145" s="191"/>
      <c r="B145" s="108" t="s">
        <v>142</v>
      </c>
      <c r="C145" s="123">
        <v>634</v>
      </c>
      <c r="D145" s="124" t="s">
        <v>141</v>
      </c>
      <c r="E145" s="14">
        <v>185000</v>
      </c>
      <c r="F145" s="14">
        <v>70000</v>
      </c>
      <c r="G145" s="14">
        <f t="shared" si="23"/>
        <v>117290000</v>
      </c>
      <c r="H145" s="14">
        <f t="shared" si="24"/>
        <v>44380000</v>
      </c>
      <c r="I145" s="16">
        <f t="shared" si="25"/>
        <v>161670000</v>
      </c>
      <c r="J145" s="111"/>
    </row>
    <row r="146" spans="1:10" x14ac:dyDescent="0.3">
      <c r="A146" s="191"/>
      <c r="B146" s="108" t="s">
        <v>143</v>
      </c>
      <c r="C146" s="123">
        <v>106886.133466667</v>
      </c>
      <c r="D146" s="124" t="s">
        <v>69</v>
      </c>
      <c r="E146" s="14">
        <v>900</v>
      </c>
      <c r="F146" s="14">
        <v>500</v>
      </c>
      <c r="G146" s="14">
        <f t="shared" si="23"/>
        <v>96197520.120000303</v>
      </c>
      <c r="H146" s="14">
        <f t="shared" si="24"/>
        <v>53443066.733333498</v>
      </c>
      <c r="I146" s="16">
        <f t="shared" si="25"/>
        <v>149640586.8533338</v>
      </c>
      <c r="J146" s="111"/>
    </row>
    <row r="147" spans="1:10" x14ac:dyDescent="0.3">
      <c r="A147" s="15">
        <v>2</v>
      </c>
      <c r="B147" s="13" t="s">
        <v>144</v>
      </c>
      <c r="C147" s="60">
        <v>8.6525999999999996</v>
      </c>
      <c r="D147" s="62" t="s">
        <v>45</v>
      </c>
      <c r="E147" s="14">
        <v>4000000</v>
      </c>
      <c r="F147" s="14">
        <v>800000</v>
      </c>
      <c r="G147" s="14">
        <f t="shared" si="23"/>
        <v>34610400</v>
      </c>
      <c r="H147" s="14">
        <f t="shared" si="24"/>
        <v>6922080</v>
      </c>
      <c r="I147" s="16">
        <f t="shared" si="25"/>
        <v>41532480</v>
      </c>
      <c r="J147" s="25"/>
    </row>
    <row r="148" spans="1:10" x14ac:dyDescent="0.3">
      <c r="A148" s="15">
        <v>3</v>
      </c>
      <c r="B148" s="13" t="s">
        <v>145</v>
      </c>
      <c r="C148" s="42">
        <v>7.8119999999999994</v>
      </c>
      <c r="D148" s="51" t="s">
        <v>45</v>
      </c>
      <c r="E148" s="14">
        <v>4000000</v>
      </c>
      <c r="F148" s="14">
        <v>800000</v>
      </c>
      <c r="G148" s="14">
        <f t="shared" si="23"/>
        <v>31247999.999999996</v>
      </c>
      <c r="H148" s="14">
        <f t="shared" si="24"/>
        <v>6249599.9999999991</v>
      </c>
      <c r="I148" s="16">
        <f t="shared" si="25"/>
        <v>37497599.999999993</v>
      </c>
      <c r="J148" s="25"/>
    </row>
    <row r="149" spans="1:10" x14ac:dyDescent="0.3">
      <c r="A149" s="191">
        <v>4</v>
      </c>
      <c r="B149" s="13" t="s">
        <v>146</v>
      </c>
      <c r="C149" s="49"/>
      <c r="D149" s="51"/>
      <c r="E149" s="14"/>
      <c r="F149" s="14"/>
      <c r="G149" s="14"/>
      <c r="H149" s="14"/>
      <c r="I149" s="20"/>
      <c r="J149" s="11"/>
    </row>
    <row r="150" spans="1:10" x14ac:dyDescent="0.3">
      <c r="A150" s="191"/>
      <c r="B150" s="13" t="s">
        <v>147</v>
      </c>
      <c r="C150" s="42">
        <v>6713.8559999999998</v>
      </c>
      <c r="D150" s="51" t="s">
        <v>69</v>
      </c>
      <c r="E150" s="14">
        <v>27500</v>
      </c>
      <c r="F150" s="14">
        <v>8500</v>
      </c>
      <c r="G150" s="14">
        <f t="shared" ref="G150:G158" si="26">C150*E150</f>
        <v>184631040</v>
      </c>
      <c r="H150" s="14">
        <f t="shared" ref="H150:H158" si="27">C150*F150</f>
        <v>57067776</v>
      </c>
      <c r="I150" s="16">
        <f t="shared" ref="I150:I158" si="28">G150+H150</f>
        <v>241698816</v>
      </c>
      <c r="J150" s="11"/>
    </row>
    <row r="151" spans="1:10" x14ac:dyDescent="0.3">
      <c r="A151" s="191"/>
      <c r="B151" s="13" t="s">
        <v>148</v>
      </c>
      <c r="C151" s="42">
        <v>957.6</v>
      </c>
      <c r="D151" s="51" t="s">
        <v>69</v>
      </c>
      <c r="E151" s="14">
        <v>27500</v>
      </c>
      <c r="F151" s="14">
        <v>8500</v>
      </c>
      <c r="G151" s="14">
        <f t="shared" si="26"/>
        <v>26334000</v>
      </c>
      <c r="H151" s="14">
        <f t="shared" si="27"/>
        <v>8139600</v>
      </c>
      <c r="I151" s="16">
        <f t="shared" si="28"/>
        <v>34473600</v>
      </c>
      <c r="J151" s="11"/>
    </row>
    <row r="152" spans="1:10" x14ac:dyDescent="0.3">
      <c r="A152" s="191"/>
      <c r="B152" s="13" t="s">
        <v>149</v>
      </c>
      <c r="C152" s="42">
        <v>2132.4960000000001</v>
      </c>
      <c r="D152" s="51" t="s">
        <v>69</v>
      </c>
      <c r="E152" s="14">
        <v>27500</v>
      </c>
      <c r="F152" s="14">
        <v>8500</v>
      </c>
      <c r="G152" s="14">
        <f t="shared" si="26"/>
        <v>58643640</v>
      </c>
      <c r="H152" s="14">
        <f t="shared" si="27"/>
        <v>18126216</v>
      </c>
      <c r="I152" s="16">
        <f t="shared" si="28"/>
        <v>76769856</v>
      </c>
      <c r="J152" s="11"/>
    </row>
    <row r="153" spans="1:10" x14ac:dyDescent="0.3">
      <c r="A153" s="191"/>
      <c r="B153" s="13" t="s">
        <v>150</v>
      </c>
      <c r="C153" s="42">
        <v>1272.96</v>
      </c>
      <c r="D153" s="51" t="s">
        <v>69</v>
      </c>
      <c r="E153" s="14">
        <v>27500</v>
      </c>
      <c r="F153" s="14">
        <v>8500</v>
      </c>
      <c r="G153" s="14">
        <f t="shared" si="26"/>
        <v>35006400</v>
      </c>
      <c r="H153" s="14">
        <f t="shared" si="27"/>
        <v>10820160</v>
      </c>
      <c r="I153" s="16">
        <f t="shared" si="28"/>
        <v>45826560</v>
      </c>
      <c r="J153" s="25"/>
    </row>
    <row r="154" spans="1:10" x14ac:dyDescent="0.3">
      <c r="A154" s="191"/>
      <c r="B154" s="13" t="s">
        <v>151</v>
      </c>
      <c r="C154" s="42">
        <v>16.600000000000001</v>
      </c>
      <c r="D154" s="51" t="s">
        <v>61</v>
      </c>
      <c r="E154" s="14">
        <v>60000</v>
      </c>
      <c r="F154" s="14">
        <v>20000</v>
      </c>
      <c r="G154" s="14">
        <f t="shared" si="26"/>
        <v>996000.00000000012</v>
      </c>
      <c r="H154" s="14">
        <f t="shared" si="27"/>
        <v>332000</v>
      </c>
      <c r="I154" s="16">
        <f t="shared" si="28"/>
        <v>1328000</v>
      </c>
      <c r="J154" s="11"/>
    </row>
    <row r="155" spans="1:10" x14ac:dyDescent="0.3">
      <c r="A155" s="191"/>
      <c r="B155" s="13" t="s">
        <v>152</v>
      </c>
      <c r="C155" s="42">
        <v>15.2</v>
      </c>
      <c r="D155" s="51" t="s">
        <v>61</v>
      </c>
      <c r="E155" s="14">
        <v>60000</v>
      </c>
      <c r="F155" s="14">
        <v>20000</v>
      </c>
      <c r="G155" s="14">
        <f t="shared" si="26"/>
        <v>912000</v>
      </c>
      <c r="H155" s="14">
        <f t="shared" si="27"/>
        <v>304000</v>
      </c>
      <c r="I155" s="16">
        <f t="shared" si="28"/>
        <v>1216000</v>
      </c>
      <c r="J155" s="11"/>
    </row>
    <row r="156" spans="1:10" x14ac:dyDescent="0.3">
      <c r="A156" s="191"/>
      <c r="B156" s="13" t="s">
        <v>153</v>
      </c>
      <c r="C156" s="42">
        <v>16.600000000000001</v>
      </c>
      <c r="D156" s="51" t="s">
        <v>61</v>
      </c>
      <c r="E156" s="14">
        <v>60000</v>
      </c>
      <c r="F156" s="14">
        <v>20000</v>
      </c>
      <c r="G156" s="14">
        <f t="shared" si="26"/>
        <v>996000.00000000012</v>
      </c>
      <c r="H156" s="14">
        <f t="shared" si="27"/>
        <v>332000</v>
      </c>
      <c r="I156" s="16">
        <f t="shared" si="28"/>
        <v>1328000</v>
      </c>
      <c r="J156" s="11"/>
    </row>
    <row r="157" spans="1:10" x14ac:dyDescent="0.3">
      <c r="A157" s="191"/>
      <c r="B157" s="13" t="s">
        <v>154</v>
      </c>
      <c r="C157" s="42">
        <v>9.6211000000000002</v>
      </c>
      <c r="D157" s="51" t="s">
        <v>31</v>
      </c>
      <c r="E157" s="14">
        <v>350000</v>
      </c>
      <c r="F157" s="14">
        <v>95000</v>
      </c>
      <c r="G157" s="14">
        <f t="shared" si="26"/>
        <v>3367385</v>
      </c>
      <c r="H157" s="14">
        <f t="shared" si="27"/>
        <v>914004.5</v>
      </c>
      <c r="I157" s="16">
        <f t="shared" si="28"/>
        <v>4281389.5</v>
      </c>
      <c r="J157" s="11"/>
    </row>
    <row r="158" spans="1:10" x14ac:dyDescent="0.3">
      <c r="A158" s="191"/>
      <c r="B158" s="13" t="s">
        <v>155</v>
      </c>
      <c r="C158" s="42">
        <v>276.06710000000004</v>
      </c>
      <c r="D158" s="51" t="s">
        <v>31</v>
      </c>
      <c r="E158" s="14">
        <v>47500</v>
      </c>
      <c r="F158" s="14">
        <v>9500</v>
      </c>
      <c r="G158" s="14">
        <f t="shared" si="26"/>
        <v>13113187.250000002</v>
      </c>
      <c r="H158" s="14">
        <f t="shared" si="27"/>
        <v>2622637.4500000002</v>
      </c>
      <c r="I158" s="16">
        <f t="shared" si="28"/>
        <v>15735824.700000003</v>
      </c>
      <c r="J158" s="25"/>
    </row>
    <row r="159" spans="1:10" x14ac:dyDescent="0.3">
      <c r="A159" s="191">
        <v>5</v>
      </c>
      <c r="B159" s="13" t="s">
        <v>156</v>
      </c>
      <c r="C159" s="49"/>
      <c r="D159" s="51"/>
      <c r="E159" s="14"/>
      <c r="F159" s="14"/>
      <c r="G159" s="14"/>
      <c r="H159" s="14"/>
      <c r="I159" s="16"/>
      <c r="J159" s="11"/>
    </row>
    <row r="160" spans="1:10" x14ac:dyDescent="0.3">
      <c r="A160" s="191"/>
      <c r="B160" s="13" t="s">
        <v>157</v>
      </c>
      <c r="C160" s="42">
        <v>7.8</v>
      </c>
      <c r="D160" s="51" t="s">
        <v>61</v>
      </c>
      <c r="E160" s="14">
        <v>60000</v>
      </c>
      <c r="F160" s="14">
        <v>20000</v>
      </c>
      <c r="G160" s="14">
        <f>C160*E160</f>
        <v>468000</v>
      </c>
      <c r="H160" s="14">
        <f>C160*F160</f>
        <v>156000</v>
      </c>
      <c r="I160" s="16">
        <f t="shared" ref="I160:I164" si="29">G160+H160</f>
        <v>624000</v>
      </c>
      <c r="J160" s="11"/>
    </row>
    <row r="161" spans="1:10" x14ac:dyDescent="0.3">
      <c r="A161" s="191"/>
      <c r="B161" s="13" t="s">
        <v>158</v>
      </c>
      <c r="C161" s="42">
        <v>6.4</v>
      </c>
      <c r="D161" s="51" t="s">
        <v>61</v>
      </c>
      <c r="E161" s="14">
        <v>60000</v>
      </c>
      <c r="F161" s="14">
        <v>20000</v>
      </c>
      <c r="G161" s="14">
        <f>C161*E161</f>
        <v>384000</v>
      </c>
      <c r="H161" s="14">
        <f>C161*F161</f>
        <v>128000</v>
      </c>
      <c r="I161" s="16">
        <f t="shared" si="29"/>
        <v>512000</v>
      </c>
      <c r="J161" s="11"/>
    </row>
    <row r="162" spans="1:10" x14ac:dyDescent="0.3">
      <c r="A162" s="191"/>
      <c r="B162" s="13" t="s">
        <v>159</v>
      </c>
      <c r="C162" s="42">
        <v>7.8</v>
      </c>
      <c r="D162" s="51" t="s">
        <v>61</v>
      </c>
      <c r="E162" s="14">
        <v>60000</v>
      </c>
      <c r="F162" s="14">
        <v>20000</v>
      </c>
      <c r="G162" s="14">
        <f>C162*E162</f>
        <v>468000</v>
      </c>
      <c r="H162" s="14">
        <f>C162*F162</f>
        <v>156000</v>
      </c>
      <c r="I162" s="16">
        <f t="shared" si="29"/>
        <v>624000</v>
      </c>
      <c r="J162" s="11"/>
    </row>
    <row r="163" spans="1:10" x14ac:dyDescent="0.3">
      <c r="A163" s="191"/>
      <c r="B163" s="13" t="s">
        <v>160</v>
      </c>
      <c r="C163" s="42">
        <v>5.6999999999999993</v>
      </c>
      <c r="D163" s="51" t="s">
        <v>31</v>
      </c>
      <c r="E163" s="14">
        <v>350000</v>
      </c>
      <c r="F163" s="14">
        <v>95000</v>
      </c>
      <c r="G163" s="14">
        <f>C163*E163</f>
        <v>1994999.9999999998</v>
      </c>
      <c r="H163" s="14">
        <f>C163*F163</f>
        <v>541499.99999999988</v>
      </c>
      <c r="I163" s="16">
        <f t="shared" si="29"/>
        <v>2536499.9999999995</v>
      </c>
      <c r="J163" s="11"/>
    </row>
    <row r="164" spans="1:10" x14ac:dyDescent="0.3">
      <c r="A164" s="191"/>
      <c r="B164" s="13" t="s">
        <v>161</v>
      </c>
      <c r="C164" s="42">
        <v>93.7</v>
      </c>
      <c r="D164" s="51" t="s">
        <v>31</v>
      </c>
      <c r="E164" s="14">
        <v>47500</v>
      </c>
      <c r="F164" s="14">
        <v>9500</v>
      </c>
      <c r="G164" s="14">
        <f>C164*E164</f>
        <v>4450750</v>
      </c>
      <c r="H164" s="14">
        <f>C164*F164</f>
        <v>890150</v>
      </c>
      <c r="I164" s="16">
        <f t="shared" si="29"/>
        <v>5340900</v>
      </c>
      <c r="J164" s="11"/>
    </row>
    <row r="165" spans="1:10" x14ac:dyDescent="0.3">
      <c r="A165" s="191">
        <v>6</v>
      </c>
      <c r="B165" s="13" t="s">
        <v>162</v>
      </c>
      <c r="C165" s="42"/>
      <c r="D165" s="51"/>
      <c r="E165" s="14"/>
      <c r="F165" s="14"/>
      <c r="G165" s="14"/>
      <c r="H165" s="14"/>
      <c r="I165" s="16"/>
      <c r="J165" s="11"/>
    </row>
    <row r="166" spans="1:10" x14ac:dyDescent="0.3">
      <c r="A166" s="191"/>
      <c r="B166" s="13" t="s">
        <v>157</v>
      </c>
      <c r="C166" s="42">
        <v>12.1</v>
      </c>
      <c r="D166" s="51" t="s">
        <v>61</v>
      </c>
      <c r="E166" s="14">
        <v>60000</v>
      </c>
      <c r="F166" s="14">
        <v>20000</v>
      </c>
      <c r="G166" s="14">
        <f>C166*E166</f>
        <v>726000</v>
      </c>
      <c r="H166" s="14">
        <f>C166*F166</f>
        <v>242000</v>
      </c>
      <c r="I166" s="16">
        <f t="shared" ref="I166:I168" si="30">G166+H166</f>
        <v>968000</v>
      </c>
      <c r="J166" s="11"/>
    </row>
    <row r="167" spans="1:10" x14ac:dyDescent="0.3">
      <c r="A167" s="191"/>
      <c r="B167" s="13" t="s">
        <v>158</v>
      </c>
      <c r="C167" s="42">
        <v>1.95</v>
      </c>
      <c r="D167" s="51" t="s">
        <v>61</v>
      </c>
      <c r="E167" s="14">
        <v>60000</v>
      </c>
      <c r="F167" s="14">
        <v>20000</v>
      </c>
      <c r="G167" s="14">
        <f>C167*E167</f>
        <v>117000</v>
      </c>
      <c r="H167" s="14">
        <f>C167*F167</f>
        <v>39000</v>
      </c>
      <c r="I167" s="16">
        <f t="shared" si="30"/>
        <v>156000</v>
      </c>
      <c r="J167" s="11"/>
    </row>
    <row r="168" spans="1:10" x14ac:dyDescent="0.3">
      <c r="A168" s="191"/>
      <c r="B168" s="136" t="s">
        <v>163</v>
      </c>
      <c r="C168" s="137">
        <v>56.199999999999996</v>
      </c>
      <c r="D168" s="138" t="s">
        <v>31</v>
      </c>
      <c r="E168" s="14">
        <v>47500</v>
      </c>
      <c r="F168" s="14">
        <v>9500</v>
      </c>
      <c r="G168" s="14">
        <f>C168*E168</f>
        <v>2669500</v>
      </c>
      <c r="H168" s="14">
        <f>C168*F168</f>
        <v>533900</v>
      </c>
      <c r="I168" s="16">
        <f t="shared" si="30"/>
        <v>3203400</v>
      </c>
      <c r="J168" s="11"/>
    </row>
    <row r="169" spans="1:10" x14ac:dyDescent="0.3">
      <c r="A169" s="201" t="s">
        <v>164</v>
      </c>
      <c r="B169" s="202"/>
      <c r="C169" s="202"/>
      <c r="D169" s="202"/>
      <c r="E169" s="201"/>
      <c r="F169" s="202"/>
      <c r="G169" s="202"/>
      <c r="H169" s="205"/>
      <c r="I169" s="20">
        <f>SUM(I123:I168)</f>
        <v>4540776885.8893337</v>
      </c>
      <c r="J169" s="11"/>
    </row>
    <row r="170" spans="1:10" x14ac:dyDescent="0.3">
      <c r="A170" s="9" t="s">
        <v>165</v>
      </c>
      <c r="B170" s="103" t="s">
        <v>166</v>
      </c>
      <c r="C170" s="10"/>
      <c r="D170" s="9"/>
      <c r="E170" s="44"/>
      <c r="F170" s="14"/>
      <c r="G170" s="14"/>
      <c r="H170" s="14"/>
      <c r="I170" s="16"/>
      <c r="J170" s="11"/>
    </row>
    <row r="171" spans="1:10" x14ac:dyDescent="0.3">
      <c r="A171" s="9" t="s">
        <v>42</v>
      </c>
      <c r="B171" s="11" t="s">
        <v>167</v>
      </c>
      <c r="C171" s="10"/>
      <c r="D171" s="9"/>
      <c r="E171" s="44"/>
      <c r="F171" s="14"/>
      <c r="G171" s="14"/>
      <c r="H171" s="14"/>
      <c r="I171" s="16"/>
      <c r="J171" s="11"/>
    </row>
    <row r="172" spans="1:10" ht="15" thickBot="1" x14ac:dyDescent="0.35">
      <c r="A172" s="200">
        <v>1</v>
      </c>
      <c r="B172" s="24" t="s">
        <v>168</v>
      </c>
      <c r="C172" s="131"/>
      <c r="D172" s="132"/>
      <c r="E172" s="44"/>
      <c r="F172" s="14"/>
      <c r="G172" s="14"/>
      <c r="H172" s="14"/>
      <c r="I172" s="20"/>
      <c r="J172" s="11"/>
    </row>
    <row r="173" spans="1:10" x14ac:dyDescent="0.3">
      <c r="A173" s="200"/>
      <c r="B173" s="115" t="s">
        <v>169</v>
      </c>
      <c r="C173" s="139">
        <v>234.24</v>
      </c>
      <c r="D173" s="140" t="s">
        <v>31</v>
      </c>
      <c r="E173" s="14">
        <v>255000</v>
      </c>
      <c r="F173" s="14">
        <v>60000</v>
      </c>
      <c r="G173" s="14">
        <f>C173*E173</f>
        <v>59731200</v>
      </c>
      <c r="H173" s="14">
        <f>C173*F173</f>
        <v>14054400</v>
      </c>
      <c r="I173" s="16">
        <f t="shared" ref="I173:I176" si="31">G173+H173</f>
        <v>73785600</v>
      </c>
      <c r="J173" s="118"/>
    </row>
    <row r="174" spans="1:10" x14ac:dyDescent="0.3">
      <c r="A174" s="200"/>
      <c r="B174" s="115" t="s">
        <v>170</v>
      </c>
      <c r="C174" s="125">
        <v>1441.12</v>
      </c>
      <c r="D174" s="126" t="s">
        <v>31</v>
      </c>
      <c r="E174" s="14">
        <v>240000</v>
      </c>
      <c r="F174" s="14">
        <v>60000</v>
      </c>
      <c r="G174" s="14">
        <f>C174*E174</f>
        <v>345868800</v>
      </c>
      <c r="H174" s="14">
        <f>C174*F174</f>
        <v>86467200</v>
      </c>
      <c r="I174" s="16">
        <f t="shared" si="31"/>
        <v>432336000</v>
      </c>
      <c r="J174" s="118"/>
    </row>
    <row r="175" spans="1:10" ht="16.05" customHeight="1" x14ac:dyDescent="0.3">
      <c r="A175" s="200"/>
      <c r="B175" s="115" t="s">
        <v>171</v>
      </c>
      <c r="C175" s="125">
        <v>75.2</v>
      </c>
      <c r="D175" s="126" t="s">
        <v>31</v>
      </c>
      <c r="E175" s="14">
        <v>225000</v>
      </c>
      <c r="F175" s="14">
        <v>60000</v>
      </c>
      <c r="G175" s="14">
        <f>C175*E175</f>
        <v>16920000</v>
      </c>
      <c r="H175" s="14">
        <f>C175*F175</f>
        <v>4512000</v>
      </c>
      <c r="I175" s="16">
        <f t="shared" si="31"/>
        <v>21432000</v>
      </c>
      <c r="J175" s="118"/>
    </row>
    <row r="176" spans="1:10" ht="16.05" customHeight="1" x14ac:dyDescent="0.3">
      <c r="A176" s="200"/>
      <c r="B176" s="115" t="s">
        <v>172</v>
      </c>
      <c r="C176" s="125">
        <v>74.400000000000006</v>
      </c>
      <c r="D176" s="126" t="s">
        <v>31</v>
      </c>
      <c r="E176" s="14">
        <v>225000</v>
      </c>
      <c r="F176" s="14">
        <v>70000</v>
      </c>
      <c r="G176" s="14">
        <f>C176*E176</f>
        <v>16740000.000000002</v>
      </c>
      <c r="H176" s="14">
        <f>C176*F176</f>
        <v>5208000</v>
      </c>
      <c r="I176" s="16">
        <f t="shared" si="31"/>
        <v>21948000</v>
      </c>
      <c r="J176" s="118"/>
    </row>
    <row r="177" spans="1:10" ht="16.05" customHeight="1" x14ac:dyDescent="0.3">
      <c r="A177" s="200">
        <v>2</v>
      </c>
      <c r="B177" s="24" t="s">
        <v>173</v>
      </c>
      <c r="C177" s="43"/>
      <c r="D177" s="62"/>
      <c r="E177" s="14"/>
      <c r="F177" s="14"/>
      <c r="G177" s="14"/>
      <c r="H177" s="14"/>
      <c r="I177" s="16"/>
      <c r="J177" s="25"/>
    </row>
    <row r="178" spans="1:10" ht="16.05" customHeight="1" x14ac:dyDescent="0.3">
      <c r="A178" s="200"/>
      <c r="B178" s="115" t="s">
        <v>169</v>
      </c>
      <c r="C178" s="125">
        <v>45.62</v>
      </c>
      <c r="D178" s="126" t="s">
        <v>31</v>
      </c>
      <c r="E178" s="14">
        <v>255000</v>
      </c>
      <c r="F178" s="14">
        <v>60000</v>
      </c>
      <c r="G178" s="14">
        <f>C178*E178</f>
        <v>11633100</v>
      </c>
      <c r="H178" s="14">
        <f>C178*F178</f>
        <v>2737200</v>
      </c>
      <c r="I178" s="16">
        <f t="shared" ref="I178:I181" si="32">G178+H178</f>
        <v>14370300</v>
      </c>
      <c r="J178" s="118"/>
    </row>
    <row r="179" spans="1:10" ht="16.05" customHeight="1" x14ac:dyDescent="0.3">
      <c r="A179" s="200"/>
      <c r="B179" s="115" t="s">
        <v>170</v>
      </c>
      <c r="C179" s="125">
        <v>478.72</v>
      </c>
      <c r="D179" s="126" t="s">
        <v>31</v>
      </c>
      <c r="E179" s="14">
        <v>240000</v>
      </c>
      <c r="F179" s="14">
        <v>60000</v>
      </c>
      <c r="G179" s="14">
        <f>C179*E179</f>
        <v>114892800</v>
      </c>
      <c r="H179" s="14">
        <f>C179*F179</f>
        <v>28723200</v>
      </c>
      <c r="I179" s="16">
        <f t="shared" si="32"/>
        <v>143616000</v>
      </c>
      <c r="J179" s="118"/>
    </row>
    <row r="180" spans="1:10" ht="16.05" customHeight="1" x14ac:dyDescent="0.3">
      <c r="A180" s="200"/>
      <c r="B180" s="24" t="s">
        <v>174</v>
      </c>
      <c r="C180" s="42">
        <v>42.877300000000005</v>
      </c>
      <c r="D180" s="62" t="s">
        <v>45</v>
      </c>
      <c r="E180" s="14">
        <v>1675000</v>
      </c>
      <c r="F180" s="14">
        <v>250000</v>
      </c>
      <c r="G180" s="14">
        <f>C180*E180</f>
        <v>71819477.500000015</v>
      </c>
      <c r="H180" s="14">
        <f>C180*F180</f>
        <v>10719325.000000002</v>
      </c>
      <c r="I180" s="16">
        <f t="shared" si="32"/>
        <v>82538802.500000015</v>
      </c>
      <c r="J180" s="25"/>
    </row>
    <row r="181" spans="1:10" ht="16.05" customHeight="1" thickBot="1" x14ac:dyDescent="0.35">
      <c r="A181" s="200"/>
      <c r="B181" s="24" t="s">
        <v>175</v>
      </c>
      <c r="C181" s="61">
        <v>857.54600000000005</v>
      </c>
      <c r="D181" s="63" t="s">
        <v>31</v>
      </c>
      <c r="E181" s="14">
        <v>87500</v>
      </c>
      <c r="F181" s="14">
        <v>35000</v>
      </c>
      <c r="G181" s="14">
        <f>C181*E181</f>
        <v>75035275</v>
      </c>
      <c r="H181" s="14">
        <f>C181*F181</f>
        <v>30014110</v>
      </c>
      <c r="I181" s="16">
        <f t="shared" si="32"/>
        <v>105049385</v>
      </c>
      <c r="J181" s="25"/>
    </row>
    <row r="182" spans="1:10" ht="16.05" customHeight="1" x14ac:dyDescent="0.3">
      <c r="A182" s="204" t="s">
        <v>176</v>
      </c>
      <c r="B182" s="193"/>
      <c r="C182" s="193"/>
      <c r="D182" s="193"/>
      <c r="E182" s="201"/>
      <c r="F182" s="202"/>
      <c r="G182" s="202"/>
      <c r="H182" s="205"/>
      <c r="I182" s="20">
        <f>SUM(I173:I181)</f>
        <v>895076087.5</v>
      </c>
      <c r="J182" s="11"/>
    </row>
    <row r="183" spans="1:10" x14ac:dyDescent="0.3">
      <c r="A183" s="129" t="s">
        <v>58</v>
      </c>
      <c r="B183" s="103" t="s">
        <v>177</v>
      </c>
      <c r="C183" s="10"/>
      <c r="D183" s="11"/>
      <c r="E183" s="44"/>
      <c r="F183" s="14"/>
      <c r="G183" s="14"/>
      <c r="H183" s="14"/>
      <c r="I183" s="16"/>
      <c r="J183" s="11"/>
    </row>
    <row r="184" spans="1:10" ht="17.55" customHeight="1" thickBot="1" x14ac:dyDescent="0.35">
      <c r="A184" s="191">
        <v>1</v>
      </c>
      <c r="B184" s="13" t="s">
        <v>168</v>
      </c>
      <c r="C184" s="131"/>
      <c r="D184" s="141"/>
      <c r="E184" s="44"/>
      <c r="F184" s="14"/>
      <c r="G184" s="14"/>
      <c r="H184" s="14"/>
      <c r="I184" s="16"/>
      <c r="J184" s="11"/>
    </row>
    <row r="185" spans="1:10" ht="17.55" customHeight="1" x14ac:dyDescent="0.3">
      <c r="A185" s="191"/>
      <c r="B185" s="115" t="s">
        <v>178</v>
      </c>
      <c r="C185" s="142">
        <v>517.31799999999998</v>
      </c>
      <c r="D185" s="140" t="s">
        <v>31</v>
      </c>
      <c r="E185" s="44">
        <v>175000</v>
      </c>
      <c r="F185" s="14">
        <v>60000</v>
      </c>
      <c r="G185" s="14">
        <f>C185*E185</f>
        <v>90530650</v>
      </c>
      <c r="H185" s="14">
        <f>C185*F185</f>
        <v>31039080</v>
      </c>
      <c r="I185" s="16">
        <f t="shared" ref="I185:I187" si="33">G185+H185</f>
        <v>121569730</v>
      </c>
      <c r="J185" s="118"/>
    </row>
    <row r="186" spans="1:10" ht="17.55" customHeight="1" x14ac:dyDescent="0.3">
      <c r="A186" s="191"/>
      <c r="B186" s="115" t="s">
        <v>179</v>
      </c>
      <c r="C186" s="125">
        <v>683.63599999999997</v>
      </c>
      <c r="D186" s="126" t="s">
        <v>31</v>
      </c>
      <c r="E186" s="44">
        <v>45000</v>
      </c>
      <c r="F186" s="14">
        <v>70000</v>
      </c>
      <c r="G186" s="14">
        <f>C186*E186</f>
        <v>30763620</v>
      </c>
      <c r="H186" s="14">
        <f>C186*F186</f>
        <v>47854520</v>
      </c>
      <c r="I186" s="16">
        <f t="shared" si="33"/>
        <v>78618140</v>
      </c>
      <c r="J186" s="118"/>
    </row>
    <row r="187" spans="1:10" x14ac:dyDescent="0.3">
      <c r="A187" s="191"/>
      <c r="B187" s="115" t="s">
        <v>180</v>
      </c>
      <c r="C187" s="125">
        <v>1899.37</v>
      </c>
      <c r="D187" s="126" t="s">
        <v>31</v>
      </c>
      <c r="E187" s="44">
        <v>400000</v>
      </c>
      <c r="F187" s="14">
        <v>115000</v>
      </c>
      <c r="G187" s="14">
        <f>C187*E187</f>
        <v>759748000</v>
      </c>
      <c r="H187" s="14">
        <f>C187*F187</f>
        <v>218427550</v>
      </c>
      <c r="I187" s="16">
        <f t="shared" si="33"/>
        <v>978175550</v>
      </c>
      <c r="J187" s="118"/>
    </row>
    <row r="188" spans="1:10" x14ac:dyDescent="0.3">
      <c r="A188" s="191">
        <v>2</v>
      </c>
      <c r="B188" s="13" t="s">
        <v>173</v>
      </c>
      <c r="C188" s="41"/>
      <c r="D188" s="51"/>
      <c r="E188" s="44"/>
      <c r="F188" s="14"/>
      <c r="G188" s="14"/>
      <c r="H188" s="14"/>
      <c r="I188" s="16"/>
      <c r="J188" s="11"/>
    </row>
    <row r="189" spans="1:10" x14ac:dyDescent="0.3">
      <c r="A189" s="191"/>
      <c r="B189" s="115" t="s">
        <v>181</v>
      </c>
      <c r="C189" s="125">
        <v>507.3</v>
      </c>
      <c r="D189" s="126" t="s">
        <v>31</v>
      </c>
      <c r="E189" s="44">
        <v>400000</v>
      </c>
      <c r="F189" s="44">
        <v>115000</v>
      </c>
      <c r="G189" s="14">
        <f>C189*E189</f>
        <v>202920000</v>
      </c>
      <c r="H189" s="14">
        <f>C189*F189</f>
        <v>58339500</v>
      </c>
      <c r="I189" s="16">
        <f t="shared" ref="I189:I191" si="34">G189+H189</f>
        <v>261259500</v>
      </c>
      <c r="J189" s="118"/>
    </row>
    <row r="190" spans="1:10" x14ac:dyDescent="0.3">
      <c r="A190" s="191"/>
      <c r="B190" s="115" t="s">
        <v>182</v>
      </c>
      <c r="C190" s="125">
        <v>116.1</v>
      </c>
      <c r="D190" s="126" t="s">
        <v>31</v>
      </c>
      <c r="E190" s="44">
        <v>175000</v>
      </c>
      <c r="F190" s="44">
        <v>60000</v>
      </c>
      <c r="G190" s="14">
        <f>C190*E190</f>
        <v>20317500</v>
      </c>
      <c r="H190" s="14">
        <f>C190*F190</f>
        <v>6966000</v>
      </c>
      <c r="I190" s="16">
        <f t="shared" si="34"/>
        <v>27283500</v>
      </c>
      <c r="J190" s="118"/>
    </row>
    <row r="191" spans="1:10" ht="15" thickBot="1" x14ac:dyDescent="0.35">
      <c r="A191" s="191"/>
      <c r="B191" s="115" t="s">
        <v>183</v>
      </c>
      <c r="C191" s="127">
        <v>232.18</v>
      </c>
      <c r="D191" s="143" t="s">
        <v>31</v>
      </c>
      <c r="E191" s="44">
        <v>45000</v>
      </c>
      <c r="F191" s="44">
        <v>70000</v>
      </c>
      <c r="G191" s="14">
        <f>C191*E191</f>
        <v>10448100</v>
      </c>
      <c r="H191" s="14">
        <f>C191*F191</f>
        <v>16252600</v>
      </c>
      <c r="I191" s="16">
        <f t="shared" si="34"/>
        <v>26700700</v>
      </c>
      <c r="J191" s="118"/>
    </row>
    <row r="192" spans="1:10" x14ac:dyDescent="0.3">
      <c r="A192" s="204" t="s">
        <v>184</v>
      </c>
      <c r="B192" s="193"/>
      <c r="C192" s="193"/>
      <c r="D192" s="193"/>
      <c r="E192" s="91"/>
      <c r="F192" s="91"/>
      <c r="G192" s="91"/>
      <c r="H192" s="92"/>
      <c r="I192" s="20">
        <f>SUM(I185:I191)</f>
        <v>1493607120</v>
      </c>
      <c r="J192" s="11"/>
    </row>
    <row r="193" spans="1:10" x14ac:dyDescent="0.3">
      <c r="A193" s="129" t="s">
        <v>116</v>
      </c>
      <c r="B193" s="144" t="s">
        <v>185</v>
      </c>
      <c r="C193" s="145"/>
      <c r="D193" s="58"/>
      <c r="E193" s="64"/>
      <c r="F193" s="14"/>
      <c r="G193" s="14"/>
      <c r="H193" s="14"/>
      <c r="I193" s="16"/>
      <c r="J193" s="25"/>
    </row>
    <row r="194" spans="1:10" ht="15" thickBot="1" x14ac:dyDescent="0.35">
      <c r="A194" s="203">
        <v>1</v>
      </c>
      <c r="B194" s="26" t="s">
        <v>168</v>
      </c>
      <c r="C194" s="146"/>
      <c r="D194" s="147"/>
      <c r="E194" s="64"/>
      <c r="F194" s="14"/>
      <c r="G194" s="14"/>
      <c r="H194" s="14"/>
      <c r="I194" s="16"/>
      <c r="J194" s="25"/>
    </row>
    <row r="195" spans="1:10" x14ac:dyDescent="0.3">
      <c r="A195" s="206"/>
      <c r="B195" s="26" t="s">
        <v>186</v>
      </c>
      <c r="C195" s="148">
        <v>2198.6750000000002</v>
      </c>
      <c r="D195" s="46" t="s">
        <v>31</v>
      </c>
      <c r="E195" s="64">
        <v>55000</v>
      </c>
      <c r="F195" s="14">
        <v>40000</v>
      </c>
      <c r="G195" s="14">
        <f>C195*E195</f>
        <v>120927125.00000001</v>
      </c>
      <c r="H195" s="14">
        <f>C195*F195</f>
        <v>87947000</v>
      </c>
      <c r="I195" s="16">
        <f t="shared" ref="I195:I199" si="35">G195+H195</f>
        <v>208874125</v>
      </c>
      <c r="J195" s="25"/>
    </row>
    <row r="196" spans="1:10" x14ac:dyDescent="0.3">
      <c r="A196" s="206"/>
      <c r="B196" s="26" t="s">
        <v>187</v>
      </c>
      <c r="C196" s="42">
        <v>2198.6750000000002</v>
      </c>
      <c r="D196" s="51" t="s">
        <v>31</v>
      </c>
      <c r="E196" s="64">
        <v>50000</v>
      </c>
      <c r="F196" s="14">
        <v>37500</v>
      </c>
      <c r="G196" s="14">
        <f>C196*E196</f>
        <v>109933750.00000001</v>
      </c>
      <c r="H196" s="14">
        <f>C196*F196</f>
        <v>82450312.5</v>
      </c>
      <c r="I196" s="16">
        <f t="shared" si="35"/>
        <v>192384062.5</v>
      </c>
      <c r="J196" s="25"/>
    </row>
    <row r="197" spans="1:10" x14ac:dyDescent="0.3">
      <c r="A197" s="206"/>
      <c r="B197" s="26" t="s">
        <v>188</v>
      </c>
      <c r="C197" s="41">
        <v>541.87999999999988</v>
      </c>
      <c r="D197" s="51" t="s">
        <v>61</v>
      </c>
      <c r="E197" s="64">
        <v>25000</v>
      </c>
      <c r="F197" s="14">
        <v>10000</v>
      </c>
      <c r="G197" s="14">
        <f>C197*E197</f>
        <v>13546999.999999996</v>
      </c>
      <c r="H197" s="14">
        <f>C197*F197</f>
        <v>5418799.9999999991</v>
      </c>
      <c r="I197" s="16">
        <f t="shared" si="35"/>
        <v>18965799.999999996</v>
      </c>
      <c r="J197" s="25"/>
    </row>
    <row r="198" spans="1:10" s="154" customFormat="1" x14ac:dyDescent="0.3">
      <c r="A198" s="206"/>
      <c r="B198" s="149" t="s">
        <v>337</v>
      </c>
      <c r="C198" s="150">
        <v>314.2</v>
      </c>
      <c r="D198" s="151" t="s">
        <v>31</v>
      </c>
      <c r="E198" s="152">
        <v>50000</v>
      </c>
      <c r="F198" s="153">
        <v>37500</v>
      </c>
      <c r="G198" s="153">
        <f>C198*E198</f>
        <v>15710000</v>
      </c>
      <c r="H198" s="153">
        <f>C198*F198</f>
        <v>11782500</v>
      </c>
      <c r="I198" s="153">
        <f t="shared" si="35"/>
        <v>27492500</v>
      </c>
      <c r="J198" s="121"/>
    </row>
    <row r="199" spans="1:10" s="154" customFormat="1" x14ac:dyDescent="0.3">
      <c r="A199" s="207"/>
      <c r="B199" s="149" t="s">
        <v>338</v>
      </c>
      <c r="C199" s="150">
        <v>225</v>
      </c>
      <c r="D199" s="151" t="s">
        <v>61</v>
      </c>
      <c r="E199" s="152">
        <v>25000</v>
      </c>
      <c r="F199" s="153">
        <v>10000</v>
      </c>
      <c r="G199" s="153">
        <f>C199*E199</f>
        <v>5625000</v>
      </c>
      <c r="H199" s="153">
        <f>C199*F199</f>
        <v>2250000</v>
      </c>
      <c r="I199" s="153">
        <f t="shared" si="35"/>
        <v>7875000</v>
      </c>
      <c r="J199" s="121"/>
    </row>
    <row r="200" spans="1:10" x14ac:dyDescent="0.3">
      <c r="A200" s="208">
        <v>2</v>
      </c>
      <c r="B200" s="26" t="s">
        <v>173</v>
      </c>
      <c r="C200" s="65"/>
      <c r="D200" s="50"/>
      <c r="E200" s="64"/>
      <c r="F200" s="14"/>
      <c r="G200" s="14"/>
      <c r="H200" s="14"/>
      <c r="I200" s="16"/>
      <c r="J200" s="25"/>
    </row>
    <row r="201" spans="1:10" x14ac:dyDescent="0.3">
      <c r="A201" s="209"/>
      <c r="B201" s="26" t="s">
        <v>186</v>
      </c>
      <c r="C201" s="41">
        <v>824.76</v>
      </c>
      <c r="D201" s="51" t="s">
        <v>31</v>
      </c>
      <c r="E201" s="189">
        <v>55000</v>
      </c>
      <c r="F201" s="14">
        <v>40000</v>
      </c>
      <c r="G201" s="14">
        <f>C201*E201</f>
        <v>45361800</v>
      </c>
      <c r="H201" s="14">
        <f>C201*F201</f>
        <v>32990400</v>
      </c>
      <c r="I201" s="16">
        <f t="shared" ref="I201:I205" si="36">G201+H201</f>
        <v>78352200</v>
      </c>
      <c r="J201" s="11"/>
    </row>
    <row r="202" spans="1:10" x14ac:dyDescent="0.3">
      <c r="A202" s="209"/>
      <c r="B202" s="26" t="s">
        <v>189</v>
      </c>
      <c r="C202" s="42">
        <v>592.79999999999995</v>
      </c>
      <c r="D202" s="51" t="s">
        <v>31</v>
      </c>
      <c r="E202" s="189">
        <v>50000</v>
      </c>
      <c r="F202" s="14">
        <v>37500</v>
      </c>
      <c r="G202" s="14">
        <f>C202*E202</f>
        <v>29639999.999999996</v>
      </c>
      <c r="H202" s="14">
        <f>C202*F202</f>
        <v>22230000</v>
      </c>
      <c r="I202" s="16">
        <f t="shared" si="36"/>
        <v>51870000</v>
      </c>
      <c r="J202" s="11"/>
    </row>
    <row r="203" spans="1:10" x14ac:dyDescent="0.3">
      <c r="A203" s="209"/>
      <c r="B203" s="26" t="s">
        <v>190</v>
      </c>
      <c r="C203" s="42">
        <v>223.6</v>
      </c>
      <c r="D203" s="51" t="s">
        <v>61</v>
      </c>
      <c r="E203" s="189">
        <v>25000</v>
      </c>
      <c r="F203" s="14">
        <v>10000</v>
      </c>
      <c r="G203" s="14">
        <f>C203*E203</f>
        <v>5590000</v>
      </c>
      <c r="H203" s="14">
        <f>C203*F203</f>
        <v>2236000</v>
      </c>
      <c r="I203" s="16">
        <f t="shared" si="36"/>
        <v>7826000</v>
      </c>
      <c r="J203" s="11"/>
    </row>
    <row r="204" spans="1:10" s="154" customFormat="1" x14ac:dyDescent="0.3">
      <c r="A204" s="209"/>
      <c r="B204" s="149" t="s">
        <v>337</v>
      </c>
      <c r="C204" s="150">
        <v>231.95999999999998</v>
      </c>
      <c r="D204" s="151" t="s">
        <v>31</v>
      </c>
      <c r="E204" s="190">
        <v>50000</v>
      </c>
      <c r="F204" s="153">
        <v>37500</v>
      </c>
      <c r="G204" s="153">
        <f>C204*E204</f>
        <v>11597999.999999998</v>
      </c>
      <c r="H204" s="153">
        <f>C204*F204</f>
        <v>8698500</v>
      </c>
      <c r="I204" s="153">
        <f t="shared" si="36"/>
        <v>20296500</v>
      </c>
      <c r="J204" s="121"/>
    </row>
    <row r="205" spans="1:10" s="154" customFormat="1" ht="15" thickBot="1" x14ac:dyDescent="0.35">
      <c r="A205" s="210"/>
      <c r="B205" s="149" t="s">
        <v>338</v>
      </c>
      <c r="C205" s="155">
        <v>234.4</v>
      </c>
      <c r="D205" s="156" t="s">
        <v>61</v>
      </c>
      <c r="E205" s="190">
        <v>25000</v>
      </c>
      <c r="F205" s="153">
        <v>10000</v>
      </c>
      <c r="G205" s="153">
        <f>C205*E205</f>
        <v>5860000</v>
      </c>
      <c r="H205" s="153">
        <f>C205*F205</f>
        <v>2344000</v>
      </c>
      <c r="I205" s="153">
        <f t="shared" si="36"/>
        <v>8204000</v>
      </c>
      <c r="J205" s="121"/>
    </row>
    <row r="206" spans="1:10" x14ac:dyDescent="0.3">
      <c r="A206" s="204" t="s">
        <v>191</v>
      </c>
      <c r="B206" s="193"/>
      <c r="C206" s="193"/>
      <c r="D206" s="193"/>
      <c r="E206" s="201"/>
      <c r="F206" s="202"/>
      <c r="G206" s="202"/>
      <c r="H206" s="205"/>
      <c r="I206" s="20">
        <f>SUM(I195:I205)</f>
        <v>622140187.5</v>
      </c>
      <c r="J206" s="11"/>
    </row>
    <row r="207" spans="1:10" ht="15" thickBot="1" x14ac:dyDescent="0.35">
      <c r="A207" s="129" t="s">
        <v>192</v>
      </c>
      <c r="B207" s="144" t="s">
        <v>193</v>
      </c>
      <c r="C207" s="157"/>
      <c r="D207" s="157"/>
      <c r="E207" s="14"/>
      <c r="F207" s="14"/>
      <c r="G207" s="14"/>
      <c r="H207" s="14"/>
      <c r="I207" s="16"/>
      <c r="J207" s="11"/>
    </row>
    <row r="208" spans="1:10" x14ac:dyDescent="0.3">
      <c r="A208" s="15">
        <v>1</v>
      </c>
      <c r="B208" s="26" t="s">
        <v>194</v>
      </c>
      <c r="C208" s="148">
        <v>1527.9599999999998</v>
      </c>
      <c r="D208" s="46" t="s">
        <v>31</v>
      </c>
      <c r="E208" s="14">
        <v>200000</v>
      </c>
      <c r="F208" s="14">
        <v>70000</v>
      </c>
      <c r="G208" s="14">
        <f t="shared" ref="G208:G214" si="37">C208*E208</f>
        <v>305591999.99999994</v>
      </c>
      <c r="H208" s="14">
        <f t="shared" ref="H208:H214" si="38">C208*F208</f>
        <v>106957199.99999999</v>
      </c>
      <c r="I208" s="16">
        <f t="shared" ref="I208:I214" si="39">G208+H208</f>
        <v>412549199.99999994</v>
      </c>
      <c r="J208" s="25"/>
    </row>
    <row r="209" spans="1:10" x14ac:dyDescent="0.3">
      <c r="A209" s="15">
        <f>A208+1</f>
        <v>2</v>
      </c>
      <c r="B209" s="26" t="s">
        <v>195</v>
      </c>
      <c r="C209" s="42">
        <v>97</v>
      </c>
      <c r="D209" s="51" t="s">
        <v>31</v>
      </c>
      <c r="E209" s="14">
        <v>500000</v>
      </c>
      <c r="F209" s="14">
        <v>100000</v>
      </c>
      <c r="G209" s="14">
        <f t="shared" si="37"/>
        <v>48500000</v>
      </c>
      <c r="H209" s="14">
        <f t="shared" si="38"/>
        <v>9700000</v>
      </c>
      <c r="I209" s="16">
        <f t="shared" si="39"/>
        <v>58200000</v>
      </c>
      <c r="J209" s="25"/>
    </row>
    <row r="210" spans="1:10" x14ac:dyDescent="0.3">
      <c r="A210" s="15">
        <f t="shared" ref="A210:A213" si="40">A209+1</f>
        <v>3</v>
      </c>
      <c r="B210" s="26" t="s">
        <v>196</v>
      </c>
      <c r="C210" s="41">
        <v>1599.1240000000003</v>
      </c>
      <c r="D210" s="51" t="s">
        <v>31</v>
      </c>
      <c r="E210" s="14">
        <v>17500</v>
      </c>
      <c r="F210" s="14">
        <v>9000</v>
      </c>
      <c r="G210" s="14">
        <f t="shared" si="37"/>
        <v>27984670.000000004</v>
      </c>
      <c r="H210" s="14">
        <f t="shared" si="38"/>
        <v>14392116.000000002</v>
      </c>
      <c r="I210" s="16">
        <f t="shared" si="39"/>
        <v>42376786.000000007</v>
      </c>
      <c r="J210" s="13"/>
    </row>
    <row r="211" spans="1:10" x14ac:dyDescent="0.3">
      <c r="A211" s="15">
        <f t="shared" si="40"/>
        <v>4</v>
      </c>
      <c r="B211" s="26" t="s">
        <v>197</v>
      </c>
      <c r="C211" s="41">
        <v>737.70600000000002</v>
      </c>
      <c r="D211" s="51" t="s">
        <v>31</v>
      </c>
      <c r="E211" s="14">
        <v>155000</v>
      </c>
      <c r="F211" s="14">
        <v>55000</v>
      </c>
      <c r="G211" s="14">
        <f t="shared" si="37"/>
        <v>114344430</v>
      </c>
      <c r="H211" s="14">
        <f t="shared" si="38"/>
        <v>40573830</v>
      </c>
      <c r="I211" s="16">
        <f t="shared" si="39"/>
        <v>154918260</v>
      </c>
      <c r="J211" s="13"/>
    </row>
    <row r="212" spans="1:10" x14ac:dyDescent="0.3">
      <c r="A212" s="15">
        <f t="shared" si="40"/>
        <v>5</v>
      </c>
      <c r="B212" s="26" t="s">
        <v>198</v>
      </c>
      <c r="C212" s="41">
        <v>188.06</v>
      </c>
      <c r="D212" s="51" t="s">
        <v>61</v>
      </c>
      <c r="E212" s="14">
        <v>110000</v>
      </c>
      <c r="F212" s="14">
        <v>45000</v>
      </c>
      <c r="G212" s="14">
        <f t="shared" si="37"/>
        <v>20686600</v>
      </c>
      <c r="H212" s="14">
        <f t="shared" si="38"/>
        <v>8462700</v>
      </c>
      <c r="I212" s="16">
        <f t="shared" si="39"/>
        <v>29149300</v>
      </c>
      <c r="J212" s="25"/>
    </row>
    <row r="213" spans="1:10" x14ac:dyDescent="0.3">
      <c r="A213" s="15">
        <f t="shared" si="40"/>
        <v>6</v>
      </c>
      <c r="B213" s="26" t="s">
        <v>199</v>
      </c>
      <c r="C213" s="42">
        <v>97</v>
      </c>
      <c r="D213" s="51" t="s">
        <v>31</v>
      </c>
      <c r="E213" s="14">
        <v>600000</v>
      </c>
      <c r="F213" s="14">
        <v>85000</v>
      </c>
      <c r="G213" s="14">
        <f t="shared" si="37"/>
        <v>58200000</v>
      </c>
      <c r="H213" s="14">
        <f t="shared" si="38"/>
        <v>8245000</v>
      </c>
      <c r="I213" s="16">
        <f t="shared" si="39"/>
        <v>66445000</v>
      </c>
      <c r="J213" s="25"/>
    </row>
    <row r="214" spans="1:10" ht="15" thickBot="1" x14ac:dyDescent="0.35">
      <c r="A214" s="15">
        <f>A213+1</f>
        <v>7</v>
      </c>
      <c r="B214" s="26" t="s">
        <v>200</v>
      </c>
      <c r="C214" s="59">
        <v>300.48</v>
      </c>
      <c r="D214" s="53" t="s">
        <v>61</v>
      </c>
      <c r="E214" s="14">
        <v>120000</v>
      </c>
      <c r="F214" s="14">
        <v>50000</v>
      </c>
      <c r="G214" s="14">
        <f t="shared" si="37"/>
        <v>36057600</v>
      </c>
      <c r="H214" s="14">
        <f t="shared" si="38"/>
        <v>15024000</v>
      </c>
      <c r="I214" s="16">
        <f t="shared" si="39"/>
        <v>51081600</v>
      </c>
      <c r="J214" s="13"/>
    </row>
    <row r="215" spans="1:10" x14ac:dyDescent="0.3">
      <c r="A215" s="204" t="s">
        <v>201</v>
      </c>
      <c r="B215" s="193"/>
      <c r="C215" s="193"/>
      <c r="D215" s="193"/>
      <c r="E215" s="91"/>
      <c r="F215" s="91"/>
      <c r="G215" s="91"/>
      <c r="H215" s="92"/>
      <c r="I215" s="20">
        <f>SUM(I208:I214)</f>
        <v>814720146</v>
      </c>
      <c r="J215" s="25"/>
    </row>
    <row r="216" spans="1:10" x14ac:dyDescent="0.3">
      <c r="A216" s="129" t="s">
        <v>202</v>
      </c>
      <c r="B216" s="103" t="s">
        <v>203</v>
      </c>
      <c r="C216" s="12"/>
      <c r="D216" s="15"/>
      <c r="E216" s="44"/>
      <c r="F216" s="14"/>
      <c r="G216" s="14"/>
      <c r="H216" s="14"/>
      <c r="I216" s="20"/>
      <c r="J216" s="25"/>
    </row>
    <row r="217" spans="1:10" ht="15" thickBot="1" x14ac:dyDescent="0.35">
      <c r="A217" s="191">
        <v>1</v>
      </c>
      <c r="B217" s="26" t="s">
        <v>168</v>
      </c>
      <c r="C217" s="146"/>
      <c r="D217" s="147"/>
      <c r="E217" s="44"/>
      <c r="F217" s="14"/>
      <c r="G217" s="14"/>
      <c r="H217" s="14"/>
      <c r="I217" s="16"/>
      <c r="J217" s="13"/>
    </row>
    <row r="218" spans="1:10" ht="28.8" x14ac:dyDescent="0.3">
      <c r="A218" s="191"/>
      <c r="B218" s="27" t="s">
        <v>204</v>
      </c>
      <c r="C218" s="158">
        <v>3</v>
      </c>
      <c r="D218" s="46" t="s">
        <v>339</v>
      </c>
      <c r="E218" s="44">
        <v>13750000.000000002</v>
      </c>
      <c r="F218" s="14">
        <v>2062500.0000000002</v>
      </c>
      <c r="G218" s="14">
        <f t="shared" ref="G218:G229" si="41">C218*E218</f>
        <v>41250000.000000007</v>
      </c>
      <c r="H218" s="14">
        <f t="shared" ref="H218:H229" si="42">C218*F218</f>
        <v>6187500.0000000009</v>
      </c>
      <c r="I218" s="16">
        <f t="shared" ref="I218:I229" si="43">G218+H218</f>
        <v>47437500.000000007</v>
      </c>
      <c r="J218" s="13"/>
    </row>
    <row r="219" spans="1:10" ht="28.8" x14ac:dyDescent="0.3">
      <c r="A219" s="191"/>
      <c r="B219" s="27" t="s">
        <v>205</v>
      </c>
      <c r="C219" s="60">
        <v>2</v>
      </c>
      <c r="D219" s="51" t="s">
        <v>339</v>
      </c>
      <c r="E219" s="44">
        <v>8250000.0000000009</v>
      </c>
      <c r="F219" s="14">
        <v>1237500</v>
      </c>
      <c r="G219" s="14">
        <f t="shared" si="41"/>
        <v>16500000.000000002</v>
      </c>
      <c r="H219" s="14">
        <f t="shared" si="42"/>
        <v>2475000</v>
      </c>
      <c r="I219" s="16">
        <f t="shared" si="43"/>
        <v>18975000</v>
      </c>
      <c r="J219" s="13"/>
    </row>
    <row r="220" spans="1:10" x14ac:dyDescent="0.3">
      <c r="A220" s="191"/>
      <c r="B220" s="27" t="s">
        <v>206</v>
      </c>
      <c r="C220" s="60">
        <v>2</v>
      </c>
      <c r="D220" s="51" t="s">
        <v>339</v>
      </c>
      <c r="E220" s="44">
        <v>8142750</v>
      </c>
      <c r="F220" s="14">
        <v>1221412.5</v>
      </c>
      <c r="G220" s="14">
        <f t="shared" si="41"/>
        <v>16285500</v>
      </c>
      <c r="H220" s="14">
        <f t="shared" si="42"/>
        <v>2442825</v>
      </c>
      <c r="I220" s="16">
        <f t="shared" si="43"/>
        <v>18728325</v>
      </c>
      <c r="J220" s="13"/>
    </row>
    <row r="221" spans="1:10" ht="28.8" x14ac:dyDescent="0.3">
      <c r="A221" s="191"/>
      <c r="B221" s="27" t="s">
        <v>207</v>
      </c>
      <c r="C221" s="60">
        <v>14</v>
      </c>
      <c r="D221" s="51" t="s">
        <v>339</v>
      </c>
      <c r="E221" s="44">
        <v>4015000.0000000005</v>
      </c>
      <c r="F221" s="14">
        <v>602250</v>
      </c>
      <c r="G221" s="14">
        <f t="shared" si="41"/>
        <v>56210000.000000007</v>
      </c>
      <c r="H221" s="14">
        <f t="shared" si="42"/>
        <v>8431500</v>
      </c>
      <c r="I221" s="16">
        <f t="shared" si="43"/>
        <v>64641500.000000007</v>
      </c>
      <c r="J221" s="13"/>
    </row>
    <row r="222" spans="1:10" ht="28.8" x14ac:dyDescent="0.3">
      <c r="A222" s="191"/>
      <c r="B222" s="27" t="s">
        <v>208</v>
      </c>
      <c r="C222" s="60">
        <v>12</v>
      </c>
      <c r="D222" s="51" t="s">
        <v>339</v>
      </c>
      <c r="E222" s="44">
        <v>4125000.0000000005</v>
      </c>
      <c r="F222" s="14">
        <v>618750</v>
      </c>
      <c r="G222" s="14">
        <f t="shared" si="41"/>
        <v>49500000.000000007</v>
      </c>
      <c r="H222" s="14">
        <f t="shared" si="42"/>
        <v>7425000</v>
      </c>
      <c r="I222" s="16">
        <f t="shared" si="43"/>
        <v>56925000.000000007</v>
      </c>
      <c r="J222" s="13"/>
    </row>
    <row r="223" spans="1:10" x14ac:dyDescent="0.3">
      <c r="A223" s="191"/>
      <c r="B223" s="27" t="s">
        <v>209</v>
      </c>
      <c r="C223" s="60">
        <v>8</v>
      </c>
      <c r="D223" s="51" t="s">
        <v>339</v>
      </c>
      <c r="E223" s="44">
        <v>4015000.0000000005</v>
      </c>
      <c r="F223" s="14">
        <v>602250</v>
      </c>
      <c r="G223" s="14">
        <f t="shared" si="41"/>
        <v>32120000.000000004</v>
      </c>
      <c r="H223" s="14">
        <f t="shared" si="42"/>
        <v>4818000</v>
      </c>
      <c r="I223" s="16">
        <f t="shared" si="43"/>
        <v>36938000</v>
      </c>
      <c r="J223" s="13"/>
    </row>
    <row r="224" spans="1:10" x14ac:dyDescent="0.3">
      <c r="A224" s="191"/>
      <c r="B224" s="27" t="s">
        <v>210</v>
      </c>
      <c r="C224" s="60">
        <v>19</v>
      </c>
      <c r="D224" s="51" t="s">
        <v>339</v>
      </c>
      <c r="E224" s="44">
        <v>3104062.4999999995</v>
      </c>
      <c r="F224" s="14">
        <v>465609.37499999994</v>
      </c>
      <c r="G224" s="14">
        <f t="shared" si="41"/>
        <v>58977187.499999993</v>
      </c>
      <c r="H224" s="14">
        <f t="shared" si="42"/>
        <v>8846578.1249999981</v>
      </c>
      <c r="I224" s="16">
        <f t="shared" si="43"/>
        <v>67823765.624999985</v>
      </c>
      <c r="J224" s="13"/>
    </row>
    <row r="225" spans="1:10" x14ac:dyDescent="0.3">
      <c r="A225" s="191"/>
      <c r="B225" s="27" t="s">
        <v>211</v>
      </c>
      <c r="C225" s="60">
        <v>4</v>
      </c>
      <c r="D225" s="51" t="s">
        <v>339</v>
      </c>
      <c r="E225" s="44">
        <v>7458000.0000000009</v>
      </c>
      <c r="F225" s="14">
        <v>1118700</v>
      </c>
      <c r="G225" s="14">
        <f t="shared" si="41"/>
        <v>29832000.000000004</v>
      </c>
      <c r="H225" s="14">
        <f t="shared" si="42"/>
        <v>4474800</v>
      </c>
      <c r="I225" s="16">
        <f t="shared" si="43"/>
        <v>34306800</v>
      </c>
      <c r="J225" s="13"/>
    </row>
    <row r="226" spans="1:10" x14ac:dyDescent="0.3">
      <c r="A226" s="191"/>
      <c r="B226" s="27" t="s">
        <v>212</v>
      </c>
      <c r="C226" s="60">
        <v>4</v>
      </c>
      <c r="D226" s="51" t="s">
        <v>339</v>
      </c>
      <c r="E226" s="44">
        <v>6336000.0000000009</v>
      </c>
      <c r="F226" s="14">
        <v>950400.00000000012</v>
      </c>
      <c r="G226" s="14">
        <f t="shared" si="41"/>
        <v>25344000.000000004</v>
      </c>
      <c r="H226" s="14">
        <f t="shared" si="42"/>
        <v>3801600.0000000005</v>
      </c>
      <c r="I226" s="16">
        <f t="shared" si="43"/>
        <v>29145600.000000004</v>
      </c>
      <c r="J226" s="13"/>
    </row>
    <row r="227" spans="1:10" x14ac:dyDescent="0.3">
      <c r="A227" s="191"/>
      <c r="B227" s="27" t="s">
        <v>213</v>
      </c>
      <c r="C227" s="60">
        <v>18</v>
      </c>
      <c r="D227" s="51" t="s">
        <v>339</v>
      </c>
      <c r="E227" s="44">
        <v>4158000.0000000005</v>
      </c>
      <c r="F227" s="14">
        <v>623700</v>
      </c>
      <c r="G227" s="14">
        <f t="shared" si="41"/>
        <v>74844000.000000015</v>
      </c>
      <c r="H227" s="14">
        <f t="shared" si="42"/>
        <v>11226600</v>
      </c>
      <c r="I227" s="16">
        <f t="shared" si="43"/>
        <v>86070600.000000015</v>
      </c>
      <c r="J227" s="13"/>
    </row>
    <row r="228" spans="1:10" x14ac:dyDescent="0.3">
      <c r="A228" s="191"/>
      <c r="B228" s="27" t="s">
        <v>214</v>
      </c>
      <c r="C228" s="60">
        <v>1</v>
      </c>
      <c r="D228" s="51" t="s">
        <v>339</v>
      </c>
      <c r="E228" s="44">
        <v>6902500.0000000009</v>
      </c>
      <c r="F228" s="14">
        <v>1035375.0000000001</v>
      </c>
      <c r="G228" s="14">
        <f t="shared" si="41"/>
        <v>6902500.0000000009</v>
      </c>
      <c r="H228" s="14">
        <f t="shared" si="42"/>
        <v>1035375.0000000001</v>
      </c>
      <c r="I228" s="16">
        <f t="shared" si="43"/>
        <v>7937875.0000000009</v>
      </c>
      <c r="J228" s="13"/>
    </row>
    <row r="229" spans="1:10" x14ac:dyDescent="0.3">
      <c r="A229" s="191"/>
      <c r="B229" s="27" t="s">
        <v>215</v>
      </c>
      <c r="C229" s="60">
        <v>15</v>
      </c>
      <c r="D229" s="51" t="s">
        <v>339</v>
      </c>
      <c r="E229" s="44">
        <v>742500.00000000012</v>
      </c>
      <c r="F229" s="14">
        <v>111375.00000000001</v>
      </c>
      <c r="G229" s="14">
        <f t="shared" si="41"/>
        <v>11137500.000000002</v>
      </c>
      <c r="H229" s="14">
        <f t="shared" si="42"/>
        <v>1670625.0000000002</v>
      </c>
      <c r="I229" s="16">
        <f t="shared" si="43"/>
        <v>12808125.000000002</v>
      </c>
      <c r="J229" s="13"/>
    </row>
    <row r="230" spans="1:10" x14ac:dyDescent="0.3">
      <c r="A230" s="191">
        <v>2</v>
      </c>
      <c r="B230" s="27" t="s">
        <v>173</v>
      </c>
      <c r="C230" s="60"/>
      <c r="D230" s="50"/>
      <c r="E230" s="44"/>
      <c r="F230" s="14"/>
      <c r="G230" s="14"/>
      <c r="H230" s="14"/>
      <c r="I230" s="16"/>
      <c r="J230" s="13"/>
    </row>
    <row r="231" spans="1:10" ht="28.8" x14ac:dyDescent="0.3">
      <c r="A231" s="191"/>
      <c r="B231" s="27" t="s">
        <v>204</v>
      </c>
      <c r="C231" s="60">
        <v>4</v>
      </c>
      <c r="D231" s="51" t="s">
        <v>339</v>
      </c>
      <c r="E231" s="44">
        <v>13750000.000000002</v>
      </c>
      <c r="F231" s="44">
        <v>2062500.0000000002</v>
      </c>
      <c r="G231" s="14">
        <f t="shared" ref="G231:G237" si="44">C231*E231</f>
        <v>55000000.000000007</v>
      </c>
      <c r="H231" s="14">
        <f t="shared" ref="H231:H237" si="45">C231*F231</f>
        <v>8250000.0000000009</v>
      </c>
      <c r="I231" s="16">
        <f t="shared" ref="I231:I237" si="46">G231+H231</f>
        <v>63250000.000000007</v>
      </c>
      <c r="J231" s="13"/>
    </row>
    <row r="232" spans="1:10" x14ac:dyDescent="0.3">
      <c r="A232" s="191"/>
      <c r="B232" s="27" t="s">
        <v>216</v>
      </c>
      <c r="C232" s="60">
        <v>3</v>
      </c>
      <c r="D232" s="51" t="s">
        <v>339</v>
      </c>
      <c r="E232" s="44">
        <v>8142750</v>
      </c>
      <c r="F232" s="44">
        <v>1221412.5</v>
      </c>
      <c r="G232" s="14">
        <f t="shared" si="44"/>
        <v>24428250</v>
      </c>
      <c r="H232" s="14">
        <f t="shared" si="45"/>
        <v>3664237.5</v>
      </c>
      <c r="I232" s="16">
        <f t="shared" si="46"/>
        <v>28092487.5</v>
      </c>
      <c r="J232" s="13"/>
    </row>
    <row r="233" spans="1:10" x14ac:dyDescent="0.3">
      <c r="A233" s="191"/>
      <c r="B233" s="27" t="s">
        <v>217</v>
      </c>
      <c r="C233" s="60">
        <v>1</v>
      </c>
      <c r="D233" s="51" t="s">
        <v>339</v>
      </c>
      <c r="E233" s="44">
        <v>4015000.0000000005</v>
      </c>
      <c r="F233" s="44">
        <v>602250</v>
      </c>
      <c r="G233" s="14">
        <f t="shared" si="44"/>
        <v>4015000.0000000005</v>
      </c>
      <c r="H233" s="14">
        <f t="shared" si="45"/>
        <v>602250</v>
      </c>
      <c r="I233" s="16">
        <f t="shared" si="46"/>
        <v>4617250</v>
      </c>
      <c r="J233" s="13"/>
    </row>
    <row r="234" spans="1:10" x14ac:dyDescent="0.3">
      <c r="A234" s="191"/>
      <c r="B234" s="27" t="s">
        <v>218</v>
      </c>
      <c r="C234" s="60">
        <v>3</v>
      </c>
      <c r="D234" s="51" t="s">
        <v>339</v>
      </c>
      <c r="E234" s="44">
        <v>6336000.0000000009</v>
      </c>
      <c r="F234" s="44">
        <v>950400.00000000012</v>
      </c>
      <c r="G234" s="14">
        <f t="shared" si="44"/>
        <v>19008000.000000004</v>
      </c>
      <c r="H234" s="14">
        <f t="shared" si="45"/>
        <v>2851200.0000000005</v>
      </c>
      <c r="I234" s="16">
        <f t="shared" si="46"/>
        <v>21859200.000000004</v>
      </c>
      <c r="J234" s="13"/>
    </row>
    <row r="235" spans="1:10" x14ac:dyDescent="0.3">
      <c r="A235" s="191"/>
      <c r="B235" s="27" t="s">
        <v>219</v>
      </c>
      <c r="C235" s="60">
        <v>2</v>
      </c>
      <c r="D235" s="51" t="s">
        <v>339</v>
      </c>
      <c r="E235" s="44">
        <v>4158000.0000000005</v>
      </c>
      <c r="F235" s="44">
        <v>623700</v>
      </c>
      <c r="G235" s="14">
        <f t="shared" si="44"/>
        <v>8316000.0000000009</v>
      </c>
      <c r="H235" s="14">
        <f t="shared" si="45"/>
        <v>1247400</v>
      </c>
      <c r="I235" s="16">
        <f t="shared" si="46"/>
        <v>9563400</v>
      </c>
      <c r="J235" s="13"/>
    </row>
    <row r="236" spans="1:10" x14ac:dyDescent="0.3">
      <c r="A236" s="191"/>
      <c r="B236" s="27" t="s">
        <v>220</v>
      </c>
      <c r="C236" s="60">
        <v>3</v>
      </c>
      <c r="D236" s="51" t="s">
        <v>339</v>
      </c>
      <c r="E236" s="44">
        <v>6902500.0000000009</v>
      </c>
      <c r="F236" s="44">
        <v>1035375.0000000001</v>
      </c>
      <c r="G236" s="14">
        <f t="shared" si="44"/>
        <v>20707500.000000004</v>
      </c>
      <c r="H236" s="14">
        <f t="shared" si="45"/>
        <v>3106125.0000000005</v>
      </c>
      <c r="I236" s="16">
        <f t="shared" si="46"/>
        <v>23813625.000000004</v>
      </c>
      <c r="J236" s="13"/>
    </row>
    <row r="237" spans="1:10" ht="15" thickBot="1" x14ac:dyDescent="0.35">
      <c r="A237" s="191"/>
      <c r="B237" s="27" t="s">
        <v>221</v>
      </c>
      <c r="C237" s="66">
        <v>1</v>
      </c>
      <c r="D237" s="53" t="s">
        <v>339</v>
      </c>
      <c r="E237" s="44">
        <v>7458000.0000000009</v>
      </c>
      <c r="F237" s="14">
        <v>1118700</v>
      </c>
      <c r="G237" s="14">
        <f t="shared" si="44"/>
        <v>7458000.0000000009</v>
      </c>
      <c r="H237" s="14">
        <f t="shared" si="45"/>
        <v>1118700</v>
      </c>
      <c r="I237" s="16">
        <f t="shared" si="46"/>
        <v>8576700</v>
      </c>
      <c r="J237" s="13"/>
    </row>
    <row r="238" spans="1:10" x14ac:dyDescent="0.3">
      <c r="A238" s="212" t="s">
        <v>222</v>
      </c>
      <c r="B238" s="192"/>
      <c r="C238" s="192"/>
      <c r="D238" s="192"/>
      <c r="E238" s="91"/>
      <c r="F238" s="91"/>
      <c r="G238" s="91"/>
      <c r="H238" s="92"/>
      <c r="I238" s="20">
        <f>SUM(I218:I237)</f>
        <v>641510753.125</v>
      </c>
      <c r="J238" s="13"/>
    </row>
    <row r="239" spans="1:10" ht="15" thickBot="1" x14ac:dyDescent="0.35">
      <c r="A239" s="9" t="s">
        <v>223</v>
      </c>
      <c r="B239" s="28" t="s">
        <v>224</v>
      </c>
      <c r="C239" s="132"/>
      <c r="D239" s="132"/>
      <c r="E239" s="14"/>
      <c r="F239" s="14"/>
      <c r="G239" s="14"/>
      <c r="H239" s="14"/>
      <c r="I239" s="16"/>
      <c r="J239" s="13"/>
    </row>
    <row r="240" spans="1:10" x14ac:dyDescent="0.3">
      <c r="A240" s="29">
        <v>1</v>
      </c>
      <c r="B240" s="30" t="s">
        <v>225</v>
      </c>
      <c r="C240" s="159">
        <v>1301.49</v>
      </c>
      <c r="D240" s="71" t="s">
        <v>31</v>
      </c>
      <c r="E240" s="14">
        <v>17500</v>
      </c>
      <c r="F240" s="14">
        <v>9000</v>
      </c>
      <c r="G240" s="14">
        <f>C240*E240</f>
        <v>22776075</v>
      </c>
      <c r="H240" s="14">
        <f>C240*F240</f>
        <v>11713410</v>
      </c>
      <c r="I240" s="16">
        <f t="shared" ref="I240:I244" si="47">G240+H240</f>
        <v>34489485</v>
      </c>
      <c r="J240" s="13"/>
    </row>
    <row r="241" spans="1:10" x14ac:dyDescent="0.3">
      <c r="A241" s="29">
        <f>A240+1</f>
        <v>2</v>
      </c>
      <c r="B241" s="160" t="s">
        <v>226</v>
      </c>
      <c r="C241" s="161">
        <v>4644.76</v>
      </c>
      <c r="D241" s="162" t="s">
        <v>31</v>
      </c>
      <c r="E241" s="14">
        <v>45000</v>
      </c>
      <c r="F241" s="14">
        <v>9000</v>
      </c>
      <c r="G241" s="14">
        <f>C241*E241</f>
        <v>209014200</v>
      </c>
      <c r="H241" s="14">
        <f>C241*F241</f>
        <v>41802840</v>
      </c>
      <c r="I241" s="16">
        <f t="shared" si="47"/>
        <v>250817040</v>
      </c>
      <c r="J241" s="118"/>
    </row>
    <row r="242" spans="1:10" x14ac:dyDescent="0.3">
      <c r="A242" s="29">
        <f t="shared" ref="A242:A244" si="48">A241+1</f>
        <v>3</v>
      </c>
      <c r="B242" s="30" t="s">
        <v>227</v>
      </c>
      <c r="C242" s="67">
        <v>1150.3900000000001</v>
      </c>
      <c r="D242" s="68" t="s">
        <v>31</v>
      </c>
      <c r="E242" s="14">
        <v>47500</v>
      </c>
      <c r="F242" s="14">
        <v>9000</v>
      </c>
      <c r="G242" s="14">
        <f>C242*E242</f>
        <v>54643525.000000007</v>
      </c>
      <c r="H242" s="14">
        <f>C242*F242</f>
        <v>10353510</v>
      </c>
      <c r="I242" s="16">
        <f t="shared" si="47"/>
        <v>64997035.000000007</v>
      </c>
      <c r="J242" s="31"/>
    </row>
    <row r="243" spans="1:10" x14ac:dyDescent="0.3">
      <c r="A243" s="29">
        <f t="shared" si="48"/>
        <v>4</v>
      </c>
      <c r="B243" s="30" t="s">
        <v>228</v>
      </c>
      <c r="C243" s="67">
        <v>3043.17</v>
      </c>
      <c r="D243" s="68" t="s">
        <v>31</v>
      </c>
      <c r="E243" s="14">
        <v>45000</v>
      </c>
      <c r="F243" s="14">
        <v>9000</v>
      </c>
      <c r="G243" s="14">
        <f>C243*E243</f>
        <v>136942650</v>
      </c>
      <c r="H243" s="14">
        <f>C243*F243</f>
        <v>27388530</v>
      </c>
      <c r="I243" s="16">
        <f t="shared" si="47"/>
        <v>164331180</v>
      </c>
      <c r="J243" s="31"/>
    </row>
    <row r="244" spans="1:10" ht="15" thickBot="1" x14ac:dyDescent="0.35">
      <c r="A244" s="163">
        <f t="shared" si="48"/>
        <v>5</v>
      </c>
      <c r="B244" s="164" t="s">
        <v>229</v>
      </c>
      <c r="C244" s="165">
        <v>150.24</v>
      </c>
      <c r="D244" s="166" t="s">
        <v>31</v>
      </c>
      <c r="E244" s="14">
        <v>47500</v>
      </c>
      <c r="F244" s="14">
        <v>9000</v>
      </c>
      <c r="G244" s="14">
        <f>C244*E244</f>
        <v>7136400</v>
      </c>
      <c r="H244" s="14">
        <f>C244*F244</f>
        <v>1352160</v>
      </c>
      <c r="I244" s="16">
        <f t="shared" si="47"/>
        <v>8488560</v>
      </c>
      <c r="J244" s="118"/>
    </row>
    <row r="245" spans="1:10" x14ac:dyDescent="0.3">
      <c r="A245" s="201" t="s">
        <v>230</v>
      </c>
      <c r="B245" s="202"/>
      <c r="C245" s="193"/>
      <c r="D245" s="193"/>
      <c r="E245" s="201"/>
      <c r="F245" s="202"/>
      <c r="G245" s="202"/>
      <c r="H245" s="205"/>
      <c r="I245" s="20">
        <f>SUM(I240:I244)</f>
        <v>523123300</v>
      </c>
      <c r="J245" s="31"/>
    </row>
    <row r="246" spans="1:10" x14ac:dyDescent="0.3">
      <c r="A246" s="94" t="s">
        <v>231</v>
      </c>
      <c r="B246" s="167" t="s">
        <v>232</v>
      </c>
      <c r="C246" s="32"/>
      <c r="D246" s="32"/>
      <c r="E246" s="14"/>
      <c r="F246" s="14"/>
      <c r="G246" s="14"/>
      <c r="H246" s="14"/>
      <c r="I246" s="16"/>
      <c r="J246" s="31"/>
    </row>
    <row r="247" spans="1:10" ht="15" thickBot="1" x14ac:dyDescent="0.35">
      <c r="A247" s="211">
        <v>1</v>
      </c>
      <c r="B247" s="33" t="s">
        <v>233</v>
      </c>
      <c r="C247" s="168"/>
      <c r="D247" s="168"/>
      <c r="E247" s="14"/>
      <c r="F247" s="14"/>
      <c r="G247" s="14"/>
      <c r="H247" s="14"/>
      <c r="I247" s="20"/>
      <c r="J247" s="31"/>
    </row>
    <row r="248" spans="1:10" x14ac:dyDescent="0.3">
      <c r="A248" s="211"/>
      <c r="B248" s="33" t="s">
        <v>234</v>
      </c>
      <c r="C248" s="159">
        <v>6.75</v>
      </c>
      <c r="D248" s="71" t="s">
        <v>31</v>
      </c>
      <c r="E248" s="14">
        <v>150000</v>
      </c>
      <c r="F248" s="14">
        <v>55000</v>
      </c>
      <c r="G248" s="14">
        <f>C248*E248</f>
        <v>1012500</v>
      </c>
      <c r="H248" s="14">
        <f>C248*F248</f>
        <v>371250</v>
      </c>
      <c r="I248" s="16">
        <f t="shared" ref="I248:I249" si="49">G248+H248</f>
        <v>1383750</v>
      </c>
      <c r="J248" s="31"/>
    </row>
    <row r="249" spans="1:10" x14ac:dyDescent="0.3">
      <c r="A249" s="211"/>
      <c r="B249" s="33" t="s">
        <v>235</v>
      </c>
      <c r="C249" s="67">
        <v>5.4</v>
      </c>
      <c r="D249" s="68" t="s">
        <v>31</v>
      </c>
      <c r="E249" s="14">
        <v>300000</v>
      </c>
      <c r="F249" s="14">
        <v>125000</v>
      </c>
      <c r="G249" s="14">
        <f>C249*E249</f>
        <v>1620000</v>
      </c>
      <c r="H249" s="14">
        <f>C249*F249</f>
        <v>675000</v>
      </c>
      <c r="I249" s="16">
        <f t="shared" si="49"/>
        <v>2295000</v>
      </c>
      <c r="J249" s="11"/>
    </row>
    <row r="250" spans="1:10" x14ac:dyDescent="0.3">
      <c r="A250" s="211">
        <v>2</v>
      </c>
      <c r="B250" s="33" t="s">
        <v>236</v>
      </c>
      <c r="C250" s="67"/>
      <c r="D250" s="68"/>
      <c r="E250" s="14"/>
      <c r="F250" s="14"/>
      <c r="G250" s="14"/>
      <c r="H250" s="14"/>
      <c r="I250" s="16"/>
      <c r="J250" s="11"/>
    </row>
    <row r="251" spans="1:10" x14ac:dyDescent="0.3">
      <c r="A251" s="211"/>
      <c r="B251" s="33" t="s">
        <v>234</v>
      </c>
      <c r="C251" s="67">
        <v>15</v>
      </c>
      <c r="D251" s="68" t="s">
        <v>31</v>
      </c>
      <c r="E251" s="14">
        <v>150000</v>
      </c>
      <c r="F251" s="14">
        <v>55000</v>
      </c>
      <c r="G251" s="14">
        <f>C251*E251</f>
        <v>2250000</v>
      </c>
      <c r="H251" s="14">
        <f>C251*F251</f>
        <v>825000</v>
      </c>
      <c r="I251" s="16">
        <f t="shared" ref="I251:I253" si="50">G251+H251</f>
        <v>3075000</v>
      </c>
      <c r="J251" s="11"/>
    </row>
    <row r="252" spans="1:10" x14ac:dyDescent="0.3">
      <c r="A252" s="211"/>
      <c r="B252" s="33" t="s">
        <v>237</v>
      </c>
      <c r="C252" s="67">
        <v>12</v>
      </c>
      <c r="D252" s="68" t="s">
        <v>31</v>
      </c>
      <c r="E252" s="14">
        <v>400000</v>
      </c>
      <c r="F252" s="14">
        <v>110000</v>
      </c>
      <c r="G252" s="14">
        <f>C252*E252</f>
        <v>4800000</v>
      </c>
      <c r="H252" s="14">
        <f>C252*F252</f>
        <v>1320000</v>
      </c>
      <c r="I252" s="16">
        <f t="shared" si="50"/>
        <v>6120000</v>
      </c>
      <c r="J252" s="25"/>
    </row>
    <row r="253" spans="1:10" x14ac:dyDescent="0.3">
      <c r="A253" s="211"/>
      <c r="B253" s="33" t="s">
        <v>238</v>
      </c>
      <c r="C253" s="67">
        <v>12</v>
      </c>
      <c r="D253" s="68" t="s">
        <v>31</v>
      </c>
      <c r="E253" s="14">
        <v>900000</v>
      </c>
      <c r="F253" s="14">
        <v>450000</v>
      </c>
      <c r="G253" s="14">
        <f>C253*E253</f>
        <v>10800000</v>
      </c>
      <c r="H253" s="14">
        <f>C253*F253</f>
        <v>5400000</v>
      </c>
      <c r="I253" s="16">
        <f t="shared" si="50"/>
        <v>16200000</v>
      </c>
      <c r="J253" s="11"/>
    </row>
    <row r="254" spans="1:10" x14ac:dyDescent="0.3">
      <c r="A254" s="211">
        <v>3</v>
      </c>
      <c r="B254" s="33" t="s">
        <v>239</v>
      </c>
      <c r="C254" s="67"/>
      <c r="D254" s="68"/>
      <c r="E254" s="14"/>
      <c r="F254" s="14"/>
      <c r="G254" s="14"/>
      <c r="H254" s="14"/>
      <c r="I254" s="20"/>
      <c r="J254" s="25"/>
    </row>
    <row r="255" spans="1:10" x14ac:dyDescent="0.3">
      <c r="A255" s="211"/>
      <c r="B255" s="33" t="s">
        <v>240</v>
      </c>
      <c r="C255" s="67">
        <v>7.5</v>
      </c>
      <c r="D255" s="68" t="s">
        <v>31</v>
      </c>
      <c r="E255" s="14">
        <v>150000</v>
      </c>
      <c r="F255" s="14">
        <v>55000</v>
      </c>
      <c r="G255" s="14">
        <f>C255*E255</f>
        <v>1125000</v>
      </c>
      <c r="H255" s="14">
        <f>C255*F255</f>
        <v>412500</v>
      </c>
      <c r="I255" s="16">
        <f t="shared" ref="I255:I257" si="51">G255+H255</f>
        <v>1537500</v>
      </c>
      <c r="J255" s="11"/>
    </row>
    <row r="256" spans="1:10" x14ac:dyDescent="0.3">
      <c r="A256" s="211"/>
      <c r="B256" s="33" t="s">
        <v>237</v>
      </c>
      <c r="C256" s="67">
        <v>6</v>
      </c>
      <c r="D256" s="68" t="s">
        <v>31</v>
      </c>
      <c r="E256" s="14">
        <v>400000</v>
      </c>
      <c r="F256" s="14">
        <v>110000</v>
      </c>
      <c r="G256" s="14">
        <f>C256*E256</f>
        <v>2400000</v>
      </c>
      <c r="H256" s="14">
        <f>C256*F256</f>
        <v>660000</v>
      </c>
      <c r="I256" s="16">
        <f t="shared" si="51"/>
        <v>3060000</v>
      </c>
      <c r="J256" s="11"/>
    </row>
    <row r="257" spans="1:10" x14ac:dyDescent="0.3">
      <c r="A257" s="211"/>
      <c r="B257" s="33" t="s">
        <v>241</v>
      </c>
      <c r="C257" s="67">
        <v>6</v>
      </c>
      <c r="D257" s="68" t="s">
        <v>31</v>
      </c>
      <c r="E257" s="14">
        <v>45000</v>
      </c>
      <c r="F257" s="14">
        <v>9000</v>
      </c>
      <c r="G257" s="14">
        <f>C257*E257</f>
        <v>270000</v>
      </c>
      <c r="H257" s="14">
        <f>C257*F257</f>
        <v>54000</v>
      </c>
      <c r="I257" s="16">
        <f t="shared" si="51"/>
        <v>324000</v>
      </c>
      <c r="J257" s="25"/>
    </row>
    <row r="258" spans="1:10" x14ac:dyDescent="0.3">
      <c r="A258" s="211">
        <v>4</v>
      </c>
      <c r="B258" s="33" t="s">
        <v>242</v>
      </c>
      <c r="C258" s="67"/>
      <c r="D258" s="68"/>
      <c r="E258" s="14"/>
      <c r="F258" s="14"/>
      <c r="G258" s="14"/>
      <c r="H258" s="14"/>
      <c r="I258" s="16"/>
      <c r="J258" s="11"/>
    </row>
    <row r="259" spans="1:10" x14ac:dyDescent="0.3">
      <c r="A259" s="211"/>
      <c r="B259" s="33" t="s">
        <v>243</v>
      </c>
      <c r="C259" s="67">
        <v>104.80000000000001</v>
      </c>
      <c r="D259" s="68" t="s">
        <v>31</v>
      </c>
      <c r="E259" s="14">
        <v>200000</v>
      </c>
      <c r="F259" s="14">
        <v>90000</v>
      </c>
      <c r="G259" s="14">
        <f>C259*E259</f>
        <v>20960000.000000004</v>
      </c>
      <c r="H259" s="14">
        <f>C259*F259</f>
        <v>9432000.0000000019</v>
      </c>
      <c r="I259" s="16">
        <f t="shared" ref="I259:I260" si="52">G259+H259</f>
        <v>30392000.000000007</v>
      </c>
      <c r="J259" s="11"/>
    </row>
    <row r="260" spans="1:10" x14ac:dyDescent="0.3">
      <c r="A260" s="211"/>
      <c r="B260" s="33" t="s">
        <v>244</v>
      </c>
      <c r="C260" s="67">
        <v>140.77999999999997</v>
      </c>
      <c r="D260" s="68" t="s">
        <v>31</v>
      </c>
      <c r="E260" s="14">
        <v>525000</v>
      </c>
      <c r="F260" s="14">
        <v>125000</v>
      </c>
      <c r="G260" s="14">
        <f>C260*E260</f>
        <v>73909499.999999985</v>
      </c>
      <c r="H260" s="14">
        <f>C260*F260</f>
        <v>17597499.999999996</v>
      </c>
      <c r="I260" s="16">
        <f t="shared" si="52"/>
        <v>91506999.999999985</v>
      </c>
      <c r="J260" s="25"/>
    </row>
    <row r="261" spans="1:10" x14ac:dyDescent="0.3">
      <c r="A261" s="211">
        <v>5</v>
      </c>
      <c r="B261" s="33" t="s">
        <v>245</v>
      </c>
      <c r="C261" s="67"/>
      <c r="D261" s="68"/>
      <c r="E261" s="14"/>
      <c r="F261" s="14"/>
      <c r="G261" s="14"/>
      <c r="H261" s="14"/>
      <c r="I261" s="16"/>
      <c r="J261" s="25"/>
    </row>
    <row r="262" spans="1:10" x14ac:dyDescent="0.3">
      <c r="A262" s="211"/>
      <c r="B262" s="33" t="s">
        <v>234</v>
      </c>
      <c r="C262" s="67">
        <v>30</v>
      </c>
      <c r="D262" s="68" t="s">
        <v>31</v>
      </c>
      <c r="E262" s="14">
        <v>150000</v>
      </c>
      <c r="F262" s="14">
        <v>55000</v>
      </c>
      <c r="G262" s="14">
        <f>C262*E262</f>
        <v>4500000</v>
      </c>
      <c r="H262" s="14">
        <f>C262*F262</f>
        <v>1650000</v>
      </c>
      <c r="I262" s="16">
        <f t="shared" ref="I262:I264" si="53">G262+H262</f>
        <v>6150000</v>
      </c>
      <c r="J262" s="11"/>
    </row>
    <row r="263" spans="1:10" x14ac:dyDescent="0.3">
      <c r="A263" s="211"/>
      <c r="B263" s="33" t="s">
        <v>246</v>
      </c>
      <c r="C263" s="67">
        <v>30</v>
      </c>
      <c r="D263" s="68" t="s">
        <v>31</v>
      </c>
      <c r="E263" s="14">
        <v>60000</v>
      </c>
      <c r="F263" s="14">
        <v>37500</v>
      </c>
      <c r="G263" s="14">
        <f>C263*E263</f>
        <v>1800000</v>
      </c>
      <c r="H263" s="14">
        <f>C263*F263</f>
        <v>1125000</v>
      </c>
      <c r="I263" s="16">
        <f t="shared" si="53"/>
        <v>2925000</v>
      </c>
      <c r="J263" s="11"/>
    </row>
    <row r="264" spans="1:10" x14ac:dyDescent="0.3">
      <c r="A264" s="211"/>
      <c r="B264" s="33" t="s">
        <v>247</v>
      </c>
      <c r="C264" s="67">
        <v>30</v>
      </c>
      <c r="D264" s="68" t="s">
        <v>31</v>
      </c>
      <c r="E264" s="14">
        <v>45000</v>
      </c>
      <c r="F264" s="14">
        <v>9000</v>
      </c>
      <c r="G264" s="14">
        <f>C264*E264</f>
        <v>1350000</v>
      </c>
      <c r="H264" s="14">
        <f>C264*F264</f>
        <v>270000</v>
      </c>
      <c r="I264" s="16">
        <f t="shared" si="53"/>
        <v>1620000</v>
      </c>
      <c r="J264" s="25"/>
    </row>
    <row r="265" spans="1:10" ht="27.6" customHeight="1" x14ac:dyDescent="0.3">
      <c r="A265" s="211">
        <v>6</v>
      </c>
      <c r="B265" s="98" t="s">
        <v>248</v>
      </c>
      <c r="C265" s="67"/>
      <c r="D265" s="68"/>
      <c r="E265" s="14"/>
      <c r="F265" s="14"/>
      <c r="G265" s="14"/>
      <c r="H265" s="14"/>
      <c r="I265" s="16"/>
      <c r="J265" s="25"/>
    </row>
    <row r="266" spans="1:10" x14ac:dyDescent="0.3">
      <c r="A266" s="211"/>
      <c r="B266" s="33" t="s">
        <v>234</v>
      </c>
      <c r="C266" s="67">
        <v>21</v>
      </c>
      <c r="D266" s="68" t="s">
        <v>31</v>
      </c>
      <c r="E266" s="14">
        <v>150000</v>
      </c>
      <c r="F266" s="14">
        <v>55000</v>
      </c>
      <c r="G266" s="14">
        <f>C266*E266</f>
        <v>3150000</v>
      </c>
      <c r="H266" s="14">
        <f>C266*F266</f>
        <v>1155000</v>
      </c>
      <c r="I266" s="16">
        <f t="shared" ref="I266:I268" si="54">G266+H266</f>
        <v>4305000</v>
      </c>
      <c r="J266" s="11"/>
    </row>
    <row r="267" spans="1:10" x14ac:dyDescent="0.3">
      <c r="A267" s="211"/>
      <c r="B267" s="33" t="s">
        <v>246</v>
      </c>
      <c r="C267" s="67">
        <v>21</v>
      </c>
      <c r="D267" s="68" t="s">
        <v>31</v>
      </c>
      <c r="E267" s="14">
        <v>60000</v>
      </c>
      <c r="F267" s="14">
        <v>37500</v>
      </c>
      <c r="G267" s="14">
        <f>C267*E267</f>
        <v>1260000</v>
      </c>
      <c r="H267" s="14">
        <f>C267*F267</f>
        <v>787500</v>
      </c>
      <c r="I267" s="16">
        <f t="shared" si="54"/>
        <v>2047500</v>
      </c>
      <c r="J267" s="11"/>
    </row>
    <row r="268" spans="1:10" x14ac:dyDescent="0.3">
      <c r="A268" s="211"/>
      <c r="B268" s="33" t="s">
        <v>247</v>
      </c>
      <c r="C268" s="67">
        <v>21</v>
      </c>
      <c r="D268" s="68" t="s">
        <v>31</v>
      </c>
      <c r="E268" s="14">
        <v>45000</v>
      </c>
      <c r="F268" s="14">
        <v>9000</v>
      </c>
      <c r="G268" s="14">
        <f>C268*E268</f>
        <v>945000</v>
      </c>
      <c r="H268" s="14">
        <f>C268*F268</f>
        <v>189000</v>
      </c>
      <c r="I268" s="16">
        <f t="shared" si="54"/>
        <v>1134000</v>
      </c>
      <c r="J268" s="11"/>
    </row>
    <row r="269" spans="1:10" x14ac:dyDescent="0.3">
      <c r="A269" s="211">
        <v>7</v>
      </c>
      <c r="B269" s="33" t="s">
        <v>249</v>
      </c>
      <c r="C269" s="67"/>
      <c r="D269" s="68"/>
      <c r="E269" s="14"/>
      <c r="F269" s="14"/>
      <c r="G269" s="14"/>
      <c r="H269" s="14"/>
      <c r="I269" s="16"/>
      <c r="J269" s="11"/>
    </row>
    <row r="270" spans="1:10" x14ac:dyDescent="0.3">
      <c r="A270" s="211"/>
      <c r="B270" s="34" t="s">
        <v>250</v>
      </c>
      <c r="C270" s="67">
        <v>18.36</v>
      </c>
      <c r="D270" s="68" t="s">
        <v>45</v>
      </c>
      <c r="E270" s="14"/>
      <c r="F270" s="14">
        <v>50000</v>
      </c>
      <c r="G270" s="14">
        <f>C270*E270</f>
        <v>0</v>
      </c>
      <c r="H270" s="14">
        <f>C270*F270</f>
        <v>918000</v>
      </c>
      <c r="I270" s="16">
        <f t="shared" ref="I270:I274" si="55">G270+H270</f>
        <v>918000</v>
      </c>
      <c r="J270" s="11"/>
    </row>
    <row r="271" spans="1:10" x14ac:dyDescent="0.3">
      <c r="A271" s="211"/>
      <c r="B271" s="33" t="s">
        <v>251</v>
      </c>
      <c r="C271" s="67">
        <v>122.39999999999999</v>
      </c>
      <c r="D271" s="68" t="s">
        <v>31</v>
      </c>
      <c r="E271" s="14">
        <v>175000</v>
      </c>
      <c r="F271" s="14">
        <v>60000</v>
      </c>
      <c r="G271" s="14">
        <f>C271*E271</f>
        <v>21420000</v>
      </c>
      <c r="H271" s="14">
        <f>C271*F271</f>
        <v>7343999.9999999991</v>
      </c>
      <c r="I271" s="16">
        <f t="shared" si="55"/>
        <v>28764000</v>
      </c>
      <c r="J271" s="11"/>
    </row>
    <row r="272" spans="1:10" x14ac:dyDescent="0.3">
      <c r="A272" s="211"/>
      <c r="B272" s="33" t="s">
        <v>252</v>
      </c>
      <c r="C272" s="67">
        <v>6.12</v>
      </c>
      <c r="D272" s="68" t="s">
        <v>45</v>
      </c>
      <c r="E272" s="14">
        <v>1675000</v>
      </c>
      <c r="F272" s="14">
        <v>250000</v>
      </c>
      <c r="G272" s="14">
        <f>C272*E272</f>
        <v>10251000</v>
      </c>
      <c r="H272" s="14">
        <f>C272*F272</f>
        <v>1530000</v>
      </c>
      <c r="I272" s="16">
        <f t="shared" si="55"/>
        <v>11781000</v>
      </c>
      <c r="J272" s="11"/>
    </row>
    <row r="273" spans="1:10" x14ac:dyDescent="0.3">
      <c r="A273" s="211"/>
      <c r="B273" s="33" t="s">
        <v>253</v>
      </c>
      <c r="C273" s="67">
        <v>122.39999999999999</v>
      </c>
      <c r="D273" s="68" t="s">
        <v>31</v>
      </c>
      <c r="E273" s="14">
        <v>35000</v>
      </c>
      <c r="F273" s="14">
        <v>50000</v>
      </c>
      <c r="G273" s="14">
        <f>C273*E273</f>
        <v>4284000</v>
      </c>
      <c r="H273" s="14">
        <f>C273*F273</f>
        <v>6120000</v>
      </c>
      <c r="I273" s="16">
        <f t="shared" si="55"/>
        <v>10404000</v>
      </c>
      <c r="J273" s="11"/>
    </row>
    <row r="274" spans="1:10" x14ac:dyDescent="0.3">
      <c r="A274" s="211"/>
      <c r="B274" s="33" t="s">
        <v>254</v>
      </c>
      <c r="C274" s="67">
        <v>122.39999999999999</v>
      </c>
      <c r="D274" s="68" t="s">
        <v>31</v>
      </c>
      <c r="E274" s="14">
        <v>15000</v>
      </c>
      <c r="F274" s="14">
        <v>25000</v>
      </c>
      <c r="G274" s="14">
        <f>C274*E274</f>
        <v>1835999.9999999998</v>
      </c>
      <c r="H274" s="14">
        <f>C274*F274</f>
        <v>3060000</v>
      </c>
      <c r="I274" s="16">
        <f t="shared" si="55"/>
        <v>4896000</v>
      </c>
      <c r="J274" s="31"/>
    </row>
    <row r="275" spans="1:10" x14ac:dyDescent="0.3">
      <c r="A275" s="211">
        <v>8</v>
      </c>
      <c r="B275" s="33" t="s">
        <v>255</v>
      </c>
      <c r="C275" s="67"/>
      <c r="D275" s="68"/>
      <c r="E275" s="14"/>
      <c r="F275" s="14"/>
      <c r="G275" s="14"/>
      <c r="H275" s="14"/>
      <c r="I275" s="16"/>
      <c r="J275" s="11"/>
    </row>
    <row r="276" spans="1:10" x14ac:dyDescent="0.3">
      <c r="A276" s="211"/>
      <c r="B276" s="33" t="s">
        <v>256</v>
      </c>
      <c r="C276" s="67">
        <v>9180</v>
      </c>
      <c r="D276" s="68" t="s">
        <v>69</v>
      </c>
      <c r="E276" s="14">
        <v>27500</v>
      </c>
      <c r="F276" s="14">
        <v>8500</v>
      </c>
      <c r="G276" s="14">
        <f>C276*E276</f>
        <v>252450000</v>
      </c>
      <c r="H276" s="14">
        <f>C276*F276</f>
        <v>78030000</v>
      </c>
      <c r="I276" s="16">
        <f t="shared" ref="I276:I280" si="56">G276+H276</f>
        <v>330480000</v>
      </c>
      <c r="J276" s="11"/>
    </row>
    <row r="277" spans="1:10" x14ac:dyDescent="0.3">
      <c r="A277" s="211"/>
      <c r="B277" s="33" t="s">
        <v>257</v>
      </c>
      <c r="C277" s="67">
        <v>1334.6960000000001</v>
      </c>
      <c r="D277" s="68" t="s">
        <v>69</v>
      </c>
      <c r="E277" s="14">
        <v>15000</v>
      </c>
      <c r="F277" s="14">
        <v>2900</v>
      </c>
      <c r="G277" s="14">
        <f>C277*E277</f>
        <v>20020440.000000004</v>
      </c>
      <c r="H277" s="14">
        <f>C277*F277</f>
        <v>3870618.4000000004</v>
      </c>
      <c r="I277" s="16">
        <f t="shared" si="56"/>
        <v>23891058.400000006</v>
      </c>
      <c r="J277" s="11"/>
    </row>
    <row r="278" spans="1:10" x14ac:dyDescent="0.3">
      <c r="A278" s="211"/>
      <c r="B278" s="33" t="s">
        <v>258</v>
      </c>
      <c r="C278" s="67">
        <v>61.199999999999996</v>
      </c>
      <c r="D278" s="68" t="s">
        <v>31</v>
      </c>
      <c r="E278" s="14">
        <v>47500</v>
      </c>
      <c r="F278" s="14">
        <v>9000</v>
      </c>
      <c r="G278" s="14">
        <f>C278*E278</f>
        <v>2907000</v>
      </c>
      <c r="H278" s="14">
        <f>C278*F278</f>
        <v>550800</v>
      </c>
      <c r="I278" s="16">
        <f t="shared" si="56"/>
        <v>3457800</v>
      </c>
      <c r="J278" s="11"/>
    </row>
    <row r="279" spans="1:10" x14ac:dyDescent="0.3">
      <c r="A279" s="29">
        <v>9</v>
      </c>
      <c r="B279" s="30" t="s">
        <v>259</v>
      </c>
      <c r="C279" s="67">
        <v>2</v>
      </c>
      <c r="D279" s="68" t="s">
        <v>36</v>
      </c>
      <c r="E279" s="14">
        <v>15000000</v>
      </c>
      <c r="F279" s="14">
        <v>4000000</v>
      </c>
      <c r="G279" s="14">
        <f>C279*E279</f>
        <v>30000000</v>
      </c>
      <c r="H279" s="14">
        <f>C279*F279</f>
        <v>8000000</v>
      </c>
      <c r="I279" s="16">
        <f t="shared" si="56"/>
        <v>38000000</v>
      </c>
      <c r="J279" s="11"/>
    </row>
    <row r="280" spans="1:10" ht="15" thickBot="1" x14ac:dyDescent="0.35">
      <c r="A280" s="29">
        <v>10</v>
      </c>
      <c r="B280" s="30" t="s">
        <v>260</v>
      </c>
      <c r="C280" s="72">
        <v>2</v>
      </c>
      <c r="D280" s="70" t="s">
        <v>36</v>
      </c>
      <c r="E280" s="14">
        <v>10000000</v>
      </c>
      <c r="F280" s="14">
        <v>2500000</v>
      </c>
      <c r="G280" s="14">
        <f>C280*E280</f>
        <v>20000000</v>
      </c>
      <c r="H280" s="14">
        <f>C280*F280</f>
        <v>5000000</v>
      </c>
      <c r="I280" s="16">
        <f t="shared" si="56"/>
        <v>25000000</v>
      </c>
      <c r="J280" s="11"/>
    </row>
    <row r="281" spans="1:10" x14ac:dyDescent="0.3">
      <c r="A281" s="169" t="s">
        <v>261</v>
      </c>
      <c r="B281" s="6"/>
      <c r="C281" s="6"/>
      <c r="D281" s="6"/>
      <c r="E281" s="201"/>
      <c r="F281" s="202"/>
      <c r="G281" s="202"/>
      <c r="H281" s="205"/>
      <c r="I281" s="20">
        <f>SUM(I248:I280)</f>
        <v>651667608.39999998</v>
      </c>
      <c r="J281" s="11"/>
    </row>
    <row r="282" spans="1:10" x14ac:dyDescent="0.3">
      <c r="A282" s="9" t="s">
        <v>262</v>
      </c>
      <c r="B282" s="28" t="s">
        <v>263</v>
      </c>
      <c r="C282" s="10"/>
      <c r="D282" s="9"/>
      <c r="E282" s="44"/>
      <c r="F282" s="14"/>
      <c r="G282" s="14"/>
      <c r="H282" s="14"/>
      <c r="I282" s="16"/>
      <c r="J282" s="11"/>
    </row>
    <row r="283" spans="1:10" x14ac:dyDescent="0.3">
      <c r="A283" s="9" t="s">
        <v>42</v>
      </c>
      <c r="B283" s="28" t="s">
        <v>264</v>
      </c>
      <c r="C283" s="10"/>
      <c r="D283" s="9"/>
      <c r="E283" s="44"/>
      <c r="F283" s="14"/>
      <c r="G283" s="14"/>
      <c r="H283" s="14"/>
      <c r="I283" s="16"/>
      <c r="J283" s="11"/>
    </row>
    <row r="284" spans="1:10" ht="15" thickBot="1" x14ac:dyDescent="0.35">
      <c r="A284" s="191">
        <v>1</v>
      </c>
      <c r="B284" s="26" t="s">
        <v>265</v>
      </c>
      <c r="C284" s="104"/>
      <c r="D284" s="105"/>
      <c r="E284" s="44"/>
      <c r="F284" s="14"/>
      <c r="G284" s="14"/>
      <c r="H284" s="14"/>
      <c r="I284" s="16"/>
      <c r="J284" s="11"/>
    </row>
    <row r="285" spans="1:10" x14ac:dyDescent="0.3">
      <c r="A285" s="191"/>
      <c r="B285" s="170" t="s">
        <v>266</v>
      </c>
      <c r="C285" s="171">
        <v>150</v>
      </c>
      <c r="D285" s="140" t="s">
        <v>61</v>
      </c>
      <c r="E285" s="44">
        <v>17500</v>
      </c>
      <c r="F285" s="14">
        <v>7500</v>
      </c>
      <c r="G285" s="14">
        <f>C285*E285</f>
        <v>2625000</v>
      </c>
      <c r="H285" s="14">
        <f>C285*F285</f>
        <v>1125000</v>
      </c>
      <c r="I285" s="16">
        <f t="shared" ref="I285:I286" si="57">G285+H285</f>
        <v>3750000</v>
      </c>
      <c r="J285" s="118"/>
    </row>
    <row r="286" spans="1:10" x14ac:dyDescent="0.3">
      <c r="A286" s="191"/>
      <c r="B286" s="172" t="s">
        <v>267</v>
      </c>
      <c r="C286" s="69">
        <v>105</v>
      </c>
      <c r="D286" s="56" t="s">
        <v>61</v>
      </c>
      <c r="E286" s="173">
        <v>20000</v>
      </c>
      <c r="F286" s="119">
        <v>10000</v>
      </c>
      <c r="G286" s="119">
        <f>C286*E286</f>
        <v>2100000</v>
      </c>
      <c r="H286" s="119">
        <f>C286*F286</f>
        <v>1050000</v>
      </c>
      <c r="I286" s="120">
        <f t="shared" si="57"/>
        <v>3150000</v>
      </c>
      <c r="J286" s="121"/>
    </row>
    <row r="287" spans="1:10" x14ac:dyDescent="0.3">
      <c r="A287" s="211">
        <v>2</v>
      </c>
      <c r="B287" s="35" t="s">
        <v>268</v>
      </c>
      <c r="C287" s="49"/>
      <c r="D287" s="51"/>
      <c r="E287" s="44"/>
      <c r="F287" s="14"/>
      <c r="G287" s="14"/>
      <c r="H287" s="14"/>
      <c r="I287" s="16"/>
      <c r="J287" s="11"/>
    </row>
    <row r="288" spans="1:10" x14ac:dyDescent="0.3">
      <c r="A288" s="211"/>
      <c r="B288" s="170" t="s">
        <v>269</v>
      </c>
      <c r="C288" s="161">
        <v>150</v>
      </c>
      <c r="D288" s="126" t="s">
        <v>61</v>
      </c>
      <c r="E288" s="44">
        <v>90000</v>
      </c>
      <c r="F288" s="14">
        <v>35000</v>
      </c>
      <c r="G288" s="14">
        <f>C288*E288</f>
        <v>13500000</v>
      </c>
      <c r="H288" s="14">
        <f>C288*F288</f>
        <v>5250000</v>
      </c>
      <c r="I288" s="16">
        <f t="shared" ref="I288:I289" si="58">G288+H288</f>
        <v>18750000</v>
      </c>
      <c r="J288" s="118"/>
    </row>
    <row r="289" spans="1:10" x14ac:dyDescent="0.3">
      <c r="A289" s="211"/>
      <c r="B289" s="170" t="s">
        <v>270</v>
      </c>
      <c r="C289" s="161">
        <v>150</v>
      </c>
      <c r="D289" s="126" t="s">
        <v>61</v>
      </c>
      <c r="E289" s="44">
        <v>140000</v>
      </c>
      <c r="F289" s="14">
        <v>50000</v>
      </c>
      <c r="G289" s="14">
        <f>C289*E289</f>
        <v>21000000</v>
      </c>
      <c r="H289" s="14">
        <f>C289*F289</f>
        <v>7500000</v>
      </c>
      <c r="I289" s="16">
        <f t="shared" si="58"/>
        <v>28500000</v>
      </c>
      <c r="J289" s="118"/>
    </row>
    <row r="290" spans="1:10" x14ac:dyDescent="0.3">
      <c r="A290" s="211">
        <v>3</v>
      </c>
      <c r="B290" s="35" t="s">
        <v>271</v>
      </c>
      <c r="C290" s="49"/>
      <c r="D290" s="51"/>
      <c r="E290" s="44"/>
      <c r="F290" s="14"/>
      <c r="G290" s="14"/>
      <c r="H290" s="14"/>
      <c r="I290" s="20"/>
      <c r="J290" s="11"/>
    </row>
    <row r="291" spans="1:10" x14ac:dyDescent="0.3">
      <c r="A291" s="211"/>
      <c r="B291" s="170" t="s">
        <v>272</v>
      </c>
      <c r="C291" s="161">
        <v>150</v>
      </c>
      <c r="D291" s="162" t="s">
        <v>61</v>
      </c>
      <c r="E291" s="44">
        <v>90000</v>
      </c>
      <c r="F291" s="44">
        <v>35000</v>
      </c>
      <c r="G291" s="14">
        <f t="shared" ref="G291:G299" si="59">C291*E291</f>
        <v>13500000</v>
      </c>
      <c r="H291" s="14">
        <f t="shared" ref="H291:H299" si="60">C291*F291</f>
        <v>5250000</v>
      </c>
      <c r="I291" s="16">
        <f t="shared" ref="I291:I299" si="61">G291+H291</f>
        <v>18750000</v>
      </c>
      <c r="J291" s="118"/>
    </row>
    <row r="292" spans="1:10" x14ac:dyDescent="0.3">
      <c r="A292" s="211"/>
      <c r="B292" s="174" t="s">
        <v>273</v>
      </c>
      <c r="C292" s="161">
        <v>30</v>
      </c>
      <c r="D292" s="126" t="s">
        <v>274</v>
      </c>
      <c r="E292" s="44">
        <v>300000</v>
      </c>
      <c r="F292" s="14">
        <v>50000</v>
      </c>
      <c r="G292" s="14">
        <f t="shared" si="59"/>
        <v>9000000</v>
      </c>
      <c r="H292" s="14">
        <f t="shared" si="60"/>
        <v>1500000</v>
      </c>
      <c r="I292" s="16">
        <f t="shared" si="61"/>
        <v>10500000</v>
      </c>
      <c r="J292" s="118"/>
    </row>
    <row r="293" spans="1:10" x14ac:dyDescent="0.3">
      <c r="A293" s="29">
        <v>4</v>
      </c>
      <c r="B293" s="36" t="s">
        <v>275</v>
      </c>
      <c r="C293" s="67">
        <v>15</v>
      </c>
      <c r="D293" s="175" t="s">
        <v>36</v>
      </c>
      <c r="E293" s="44">
        <v>3000000</v>
      </c>
      <c r="F293" s="14">
        <v>450000</v>
      </c>
      <c r="G293" s="14">
        <f t="shared" si="59"/>
        <v>45000000</v>
      </c>
      <c r="H293" s="14">
        <f t="shared" si="60"/>
        <v>6750000</v>
      </c>
      <c r="I293" s="16">
        <f t="shared" si="61"/>
        <v>51750000</v>
      </c>
      <c r="J293" s="11"/>
    </row>
    <row r="294" spans="1:10" x14ac:dyDescent="0.3">
      <c r="A294" s="29">
        <v>5</v>
      </c>
      <c r="B294" s="176" t="s">
        <v>276</v>
      </c>
      <c r="C294" s="161">
        <v>15</v>
      </c>
      <c r="D294" s="162" t="s">
        <v>141</v>
      </c>
      <c r="E294" s="44">
        <v>2350000</v>
      </c>
      <c r="F294" s="14">
        <v>350000</v>
      </c>
      <c r="G294" s="14">
        <f t="shared" si="59"/>
        <v>35250000</v>
      </c>
      <c r="H294" s="14">
        <f t="shared" si="60"/>
        <v>5250000</v>
      </c>
      <c r="I294" s="16">
        <f t="shared" si="61"/>
        <v>40500000</v>
      </c>
      <c r="J294" s="118"/>
    </row>
    <row r="295" spans="1:10" x14ac:dyDescent="0.3">
      <c r="A295" s="29">
        <v>6</v>
      </c>
      <c r="B295" s="36" t="s">
        <v>277</v>
      </c>
      <c r="C295" s="67">
        <v>10</v>
      </c>
      <c r="D295" s="68" t="s">
        <v>141</v>
      </c>
      <c r="E295" s="44">
        <v>300000</v>
      </c>
      <c r="F295" s="14">
        <v>50000</v>
      </c>
      <c r="G295" s="14">
        <f t="shared" si="59"/>
        <v>3000000</v>
      </c>
      <c r="H295" s="14">
        <f t="shared" si="60"/>
        <v>500000</v>
      </c>
      <c r="I295" s="16">
        <f t="shared" si="61"/>
        <v>3500000</v>
      </c>
      <c r="J295" s="11"/>
    </row>
    <row r="296" spans="1:10" ht="28.95" customHeight="1" x14ac:dyDescent="0.3">
      <c r="A296" s="29">
        <v>7</v>
      </c>
      <c r="B296" s="177" t="s">
        <v>278</v>
      </c>
      <c r="C296" s="178">
        <v>5</v>
      </c>
      <c r="D296" s="179" t="s">
        <v>141</v>
      </c>
      <c r="E296" s="173">
        <v>3500000</v>
      </c>
      <c r="F296" s="119">
        <v>425000</v>
      </c>
      <c r="G296" s="119">
        <f t="shared" si="59"/>
        <v>17500000</v>
      </c>
      <c r="H296" s="119">
        <f t="shared" si="60"/>
        <v>2125000</v>
      </c>
      <c r="I296" s="120">
        <f t="shared" si="61"/>
        <v>19625000</v>
      </c>
      <c r="J296" s="121"/>
    </row>
    <row r="297" spans="1:10" x14ac:dyDescent="0.3">
      <c r="A297" s="29">
        <v>8</v>
      </c>
      <c r="B297" s="30" t="s">
        <v>279</v>
      </c>
      <c r="C297" s="49">
        <v>25</v>
      </c>
      <c r="D297" s="51" t="s">
        <v>141</v>
      </c>
      <c r="E297" s="44">
        <v>300000</v>
      </c>
      <c r="F297" s="14">
        <v>50000</v>
      </c>
      <c r="G297" s="14">
        <f t="shared" si="59"/>
        <v>7500000</v>
      </c>
      <c r="H297" s="14">
        <f t="shared" si="60"/>
        <v>1250000</v>
      </c>
      <c r="I297" s="16">
        <f t="shared" si="61"/>
        <v>8750000</v>
      </c>
      <c r="J297" s="11"/>
    </row>
    <row r="298" spans="1:10" x14ac:dyDescent="0.3">
      <c r="A298" s="29">
        <v>9</v>
      </c>
      <c r="B298" s="30" t="s">
        <v>280</v>
      </c>
      <c r="C298" s="49">
        <v>1</v>
      </c>
      <c r="D298" s="51" t="s">
        <v>141</v>
      </c>
      <c r="E298" s="44">
        <v>50000000</v>
      </c>
      <c r="F298" s="14">
        <v>3500000</v>
      </c>
      <c r="G298" s="14">
        <f t="shared" si="59"/>
        <v>50000000</v>
      </c>
      <c r="H298" s="14">
        <f t="shared" si="60"/>
        <v>3500000</v>
      </c>
      <c r="I298" s="16">
        <f t="shared" si="61"/>
        <v>53500000</v>
      </c>
      <c r="J298" s="11"/>
    </row>
    <row r="299" spans="1:10" x14ac:dyDescent="0.3">
      <c r="A299" s="29">
        <v>10</v>
      </c>
      <c r="B299" s="30" t="s">
        <v>281</v>
      </c>
      <c r="C299" s="49">
        <v>3</v>
      </c>
      <c r="D299" s="51" t="s">
        <v>141</v>
      </c>
      <c r="E299" s="44">
        <v>2500000</v>
      </c>
      <c r="F299" s="14">
        <v>750000</v>
      </c>
      <c r="G299" s="14">
        <f t="shared" si="59"/>
        <v>7500000</v>
      </c>
      <c r="H299" s="14">
        <f t="shared" si="60"/>
        <v>2250000</v>
      </c>
      <c r="I299" s="16">
        <f t="shared" si="61"/>
        <v>9750000</v>
      </c>
      <c r="J299" s="11"/>
    </row>
    <row r="300" spans="1:10" x14ac:dyDescent="0.3">
      <c r="A300" s="211">
        <v>10</v>
      </c>
      <c r="B300" s="34" t="s">
        <v>282</v>
      </c>
      <c r="C300" s="49"/>
      <c r="D300" s="51"/>
      <c r="E300" s="44"/>
      <c r="F300" s="14"/>
      <c r="G300" s="14"/>
      <c r="H300" s="14"/>
      <c r="I300" s="16"/>
      <c r="J300" s="11"/>
    </row>
    <row r="301" spans="1:10" x14ac:dyDescent="0.3">
      <c r="A301" s="211"/>
      <c r="B301" s="30" t="s">
        <v>283</v>
      </c>
      <c r="C301" s="67">
        <v>25.66</v>
      </c>
      <c r="D301" s="51" t="s">
        <v>45</v>
      </c>
      <c r="E301" s="44"/>
      <c r="F301" s="14">
        <v>50000</v>
      </c>
      <c r="G301" s="14">
        <f t="shared" ref="G301:G308" si="62">C301*E301</f>
        <v>0</v>
      </c>
      <c r="H301" s="14">
        <f t="shared" ref="H301:H308" si="63">C301*F301</f>
        <v>1283000</v>
      </c>
      <c r="I301" s="16">
        <f t="shared" ref="I301:I308" si="64">G301+H301</f>
        <v>1283000</v>
      </c>
      <c r="J301" s="11"/>
    </row>
    <row r="302" spans="1:10" x14ac:dyDescent="0.3">
      <c r="A302" s="211"/>
      <c r="B302" s="30" t="s">
        <v>284</v>
      </c>
      <c r="C302" s="67">
        <v>49.2</v>
      </c>
      <c r="D302" s="51" t="s">
        <v>31</v>
      </c>
      <c r="E302" s="44">
        <v>175000</v>
      </c>
      <c r="F302" s="44">
        <v>60000</v>
      </c>
      <c r="G302" s="14">
        <f t="shared" si="62"/>
        <v>8610000</v>
      </c>
      <c r="H302" s="14">
        <f t="shared" si="63"/>
        <v>2952000</v>
      </c>
      <c r="I302" s="16">
        <f t="shared" si="64"/>
        <v>11562000</v>
      </c>
      <c r="J302" s="11"/>
    </row>
    <row r="303" spans="1:10" x14ac:dyDescent="0.3">
      <c r="A303" s="211"/>
      <c r="B303" s="30" t="s">
        <v>285</v>
      </c>
      <c r="C303" s="67">
        <v>98.4</v>
      </c>
      <c r="D303" s="51" t="s">
        <v>31</v>
      </c>
      <c r="E303" s="44">
        <v>35000</v>
      </c>
      <c r="F303" s="44">
        <v>50000</v>
      </c>
      <c r="G303" s="14">
        <f t="shared" si="62"/>
        <v>3444000</v>
      </c>
      <c r="H303" s="14">
        <f t="shared" si="63"/>
        <v>4920000</v>
      </c>
      <c r="I303" s="16">
        <f t="shared" si="64"/>
        <v>8364000</v>
      </c>
      <c r="J303" s="11"/>
    </row>
    <row r="304" spans="1:10" x14ac:dyDescent="0.3">
      <c r="A304" s="211"/>
      <c r="B304" s="30" t="s">
        <v>286</v>
      </c>
      <c r="C304" s="67">
        <v>98.4</v>
      </c>
      <c r="D304" s="51" t="s">
        <v>31</v>
      </c>
      <c r="E304" s="44">
        <v>15000</v>
      </c>
      <c r="F304" s="44">
        <v>25000</v>
      </c>
      <c r="G304" s="14">
        <f t="shared" si="62"/>
        <v>1476000</v>
      </c>
      <c r="H304" s="14">
        <f t="shared" si="63"/>
        <v>2460000</v>
      </c>
      <c r="I304" s="16">
        <f t="shared" si="64"/>
        <v>3936000</v>
      </c>
      <c r="J304" s="11"/>
    </row>
    <row r="305" spans="1:10" x14ac:dyDescent="0.3">
      <c r="A305" s="211"/>
      <c r="B305" s="30" t="s">
        <v>287</v>
      </c>
      <c r="C305" s="67">
        <v>1.46</v>
      </c>
      <c r="D305" s="51" t="s">
        <v>45</v>
      </c>
      <c r="E305" s="44">
        <v>650000</v>
      </c>
      <c r="F305" s="44">
        <v>150000</v>
      </c>
      <c r="G305" s="14">
        <f t="shared" si="62"/>
        <v>949000</v>
      </c>
      <c r="H305" s="14">
        <f t="shared" si="63"/>
        <v>219000</v>
      </c>
      <c r="I305" s="16">
        <f t="shared" si="64"/>
        <v>1168000</v>
      </c>
      <c r="J305" s="11"/>
    </row>
    <row r="306" spans="1:10" x14ac:dyDescent="0.3">
      <c r="A306" s="211"/>
      <c r="B306" s="30" t="s">
        <v>288</v>
      </c>
      <c r="C306" s="67">
        <v>0.73</v>
      </c>
      <c r="D306" s="51" t="s">
        <v>45</v>
      </c>
      <c r="E306" s="44">
        <v>1675000</v>
      </c>
      <c r="F306" s="44">
        <v>250000</v>
      </c>
      <c r="G306" s="14">
        <f t="shared" si="62"/>
        <v>1222750</v>
      </c>
      <c r="H306" s="14">
        <f t="shared" si="63"/>
        <v>182500</v>
      </c>
      <c r="I306" s="16">
        <f t="shared" si="64"/>
        <v>1405250</v>
      </c>
      <c r="J306" s="11"/>
    </row>
    <row r="307" spans="1:10" x14ac:dyDescent="0.3">
      <c r="A307" s="211"/>
      <c r="B307" s="30" t="s">
        <v>289</v>
      </c>
      <c r="C307" s="67">
        <v>98.4</v>
      </c>
      <c r="D307" s="51" t="s">
        <v>31</v>
      </c>
      <c r="E307" s="44">
        <v>87500</v>
      </c>
      <c r="F307" s="44">
        <v>35000</v>
      </c>
      <c r="G307" s="14">
        <f t="shared" si="62"/>
        <v>8610000</v>
      </c>
      <c r="H307" s="14">
        <f t="shared" si="63"/>
        <v>3444000</v>
      </c>
      <c r="I307" s="16">
        <f t="shared" si="64"/>
        <v>12054000</v>
      </c>
      <c r="J307" s="11"/>
    </row>
    <row r="308" spans="1:10" x14ac:dyDescent="0.3">
      <c r="A308" s="211"/>
      <c r="B308" s="30" t="s">
        <v>290</v>
      </c>
      <c r="C308" s="67">
        <v>2</v>
      </c>
      <c r="D308" s="51" t="s">
        <v>36</v>
      </c>
      <c r="E308" s="44">
        <v>13500000</v>
      </c>
      <c r="F308" s="14">
        <v>3000000</v>
      </c>
      <c r="G308" s="14">
        <f t="shared" si="62"/>
        <v>27000000</v>
      </c>
      <c r="H308" s="14">
        <f t="shared" si="63"/>
        <v>6000000</v>
      </c>
      <c r="I308" s="16">
        <f t="shared" si="64"/>
        <v>33000000</v>
      </c>
      <c r="J308" s="11"/>
    </row>
    <row r="309" spans="1:10" x14ac:dyDescent="0.3">
      <c r="A309" s="211">
        <v>11</v>
      </c>
      <c r="B309" s="30" t="s">
        <v>291</v>
      </c>
      <c r="C309" s="67"/>
      <c r="D309" s="51"/>
      <c r="E309" s="44"/>
      <c r="F309" s="14"/>
      <c r="G309" s="14"/>
      <c r="H309" s="14"/>
      <c r="I309" s="16"/>
      <c r="J309" s="11"/>
    </row>
    <row r="310" spans="1:10" x14ac:dyDescent="0.3">
      <c r="A310" s="211"/>
      <c r="B310" s="180" t="s">
        <v>292</v>
      </c>
      <c r="C310" s="161">
        <v>0.216</v>
      </c>
      <c r="D310" s="126" t="s">
        <v>45</v>
      </c>
      <c r="E310" s="44"/>
      <c r="F310" s="14">
        <v>50000</v>
      </c>
      <c r="G310" s="14">
        <f>C310*E310</f>
        <v>0</v>
      </c>
      <c r="H310" s="14">
        <f>C310*F310</f>
        <v>10800</v>
      </c>
      <c r="I310" s="16">
        <f t="shared" ref="I310:I314" si="65">G310+H310</f>
        <v>10800</v>
      </c>
      <c r="J310" s="118"/>
    </row>
    <row r="311" spans="1:10" x14ac:dyDescent="0.3">
      <c r="A311" s="211"/>
      <c r="B311" s="180" t="s">
        <v>293</v>
      </c>
      <c r="C311" s="161">
        <v>88.800000000000011</v>
      </c>
      <c r="D311" s="126" t="s">
        <v>69</v>
      </c>
      <c r="E311" s="44">
        <v>15000</v>
      </c>
      <c r="F311" s="44">
        <v>2900</v>
      </c>
      <c r="G311" s="14">
        <f>C311*E311</f>
        <v>1332000.0000000002</v>
      </c>
      <c r="H311" s="14">
        <f>C311*F311</f>
        <v>257520.00000000003</v>
      </c>
      <c r="I311" s="16">
        <f t="shared" si="65"/>
        <v>1589520.0000000002</v>
      </c>
      <c r="J311" s="118"/>
    </row>
    <row r="312" spans="1:10" x14ac:dyDescent="0.3">
      <c r="A312" s="211"/>
      <c r="B312" s="180" t="s">
        <v>294</v>
      </c>
      <c r="C312" s="161">
        <v>2.88</v>
      </c>
      <c r="D312" s="126" t="s">
        <v>31</v>
      </c>
      <c r="E312" s="44">
        <v>150000</v>
      </c>
      <c r="F312" s="44">
        <v>75000</v>
      </c>
      <c r="G312" s="14">
        <f>C312*E312</f>
        <v>432000</v>
      </c>
      <c r="H312" s="14">
        <f>C312*F312</f>
        <v>216000</v>
      </c>
      <c r="I312" s="16">
        <f t="shared" si="65"/>
        <v>648000</v>
      </c>
      <c r="J312" s="118"/>
    </row>
    <row r="313" spans="1:10" x14ac:dyDescent="0.3">
      <c r="A313" s="211"/>
      <c r="B313" s="180" t="s">
        <v>295</v>
      </c>
      <c r="C313" s="161">
        <v>0.27</v>
      </c>
      <c r="D313" s="126" t="s">
        <v>45</v>
      </c>
      <c r="E313" s="44">
        <v>2350000</v>
      </c>
      <c r="F313" s="44">
        <v>275000</v>
      </c>
      <c r="G313" s="14">
        <f>C313*E313</f>
        <v>634500</v>
      </c>
      <c r="H313" s="14">
        <f>C313*F313</f>
        <v>74250</v>
      </c>
      <c r="I313" s="16">
        <f t="shared" si="65"/>
        <v>708750</v>
      </c>
      <c r="J313" s="118"/>
    </row>
    <row r="314" spans="1:10" ht="15" thickBot="1" x14ac:dyDescent="0.35">
      <c r="A314" s="213"/>
      <c r="B314" s="181" t="s">
        <v>296</v>
      </c>
      <c r="C314" s="165">
        <v>3.5999999999999996</v>
      </c>
      <c r="D314" s="182" t="s">
        <v>31</v>
      </c>
      <c r="E314" s="44">
        <v>87500</v>
      </c>
      <c r="F314" s="44">
        <v>35000</v>
      </c>
      <c r="G314" s="14">
        <f>C314*E314</f>
        <v>314999.99999999994</v>
      </c>
      <c r="H314" s="14">
        <f>C314*F314</f>
        <v>125999.99999999999</v>
      </c>
      <c r="I314" s="16">
        <f t="shared" si="65"/>
        <v>440999.99999999994</v>
      </c>
      <c r="J314" s="118"/>
    </row>
    <row r="315" spans="1:10" x14ac:dyDescent="0.3">
      <c r="A315" s="201" t="s">
        <v>297</v>
      </c>
      <c r="B315" s="202"/>
      <c r="C315" s="193"/>
      <c r="D315" s="202"/>
      <c r="E315" s="202"/>
      <c r="F315" s="202"/>
      <c r="G315" s="202"/>
      <c r="H315" s="205"/>
      <c r="I315" s="20">
        <f>SUM(I285:I314)</f>
        <v>346945320</v>
      </c>
      <c r="J315" s="11"/>
    </row>
    <row r="316" spans="1:10" x14ac:dyDescent="0.3">
      <c r="A316" s="94" t="s">
        <v>58</v>
      </c>
      <c r="B316" s="93" t="s">
        <v>298</v>
      </c>
      <c r="C316" s="10"/>
      <c r="D316" s="11"/>
      <c r="E316" s="44"/>
      <c r="F316" s="14"/>
      <c r="G316" s="14"/>
      <c r="H316" s="14"/>
      <c r="I316" s="16"/>
      <c r="J316" s="11"/>
    </row>
    <row r="317" spans="1:10" ht="15" thickBot="1" x14ac:dyDescent="0.35">
      <c r="A317" s="211">
        <v>1</v>
      </c>
      <c r="B317" s="34" t="s">
        <v>299</v>
      </c>
      <c r="C317" s="131"/>
      <c r="D317" s="132"/>
      <c r="E317" s="44"/>
      <c r="F317" s="14"/>
      <c r="G317" s="14"/>
      <c r="H317" s="14"/>
      <c r="I317" s="16"/>
      <c r="J317" s="11"/>
    </row>
    <row r="318" spans="1:10" x14ac:dyDescent="0.3">
      <c r="A318" s="211"/>
      <c r="B318" s="97" t="s">
        <v>300</v>
      </c>
      <c r="C318" s="159">
        <v>1</v>
      </c>
      <c r="D318" s="46" t="s">
        <v>36</v>
      </c>
      <c r="E318" s="44">
        <v>5000000</v>
      </c>
      <c r="F318" s="14">
        <v>850000</v>
      </c>
      <c r="G318" s="14">
        <f t="shared" ref="G318:G345" si="66">C318*E318</f>
        <v>5000000</v>
      </c>
      <c r="H318" s="14">
        <f t="shared" ref="H318:H345" si="67">C318*F318</f>
        <v>850000</v>
      </c>
      <c r="I318" s="16">
        <f t="shared" ref="I318:I345" si="68">G318+H318</f>
        <v>5850000</v>
      </c>
      <c r="J318" s="11"/>
    </row>
    <row r="319" spans="1:10" x14ac:dyDescent="0.3">
      <c r="A319" s="211"/>
      <c r="B319" s="34" t="s">
        <v>301</v>
      </c>
      <c r="C319" s="67">
        <v>1</v>
      </c>
      <c r="D319" s="51" t="s">
        <v>36</v>
      </c>
      <c r="E319" s="44">
        <v>1800000</v>
      </c>
      <c r="F319" s="14">
        <v>350000</v>
      </c>
      <c r="G319" s="14">
        <f t="shared" si="66"/>
        <v>1800000</v>
      </c>
      <c r="H319" s="14">
        <f t="shared" si="67"/>
        <v>350000</v>
      </c>
      <c r="I319" s="16">
        <f t="shared" si="68"/>
        <v>2150000</v>
      </c>
      <c r="J319" s="11"/>
    </row>
    <row r="320" spans="1:10" x14ac:dyDescent="0.3">
      <c r="A320" s="211"/>
      <c r="B320" s="34" t="s">
        <v>302</v>
      </c>
      <c r="C320" s="67">
        <v>26</v>
      </c>
      <c r="D320" s="51" t="s">
        <v>36</v>
      </c>
      <c r="E320" s="44">
        <v>225000</v>
      </c>
      <c r="F320" s="14">
        <v>75000</v>
      </c>
      <c r="G320" s="14">
        <f t="shared" si="66"/>
        <v>5850000</v>
      </c>
      <c r="H320" s="14">
        <f t="shared" si="67"/>
        <v>1950000</v>
      </c>
      <c r="I320" s="16">
        <f t="shared" si="68"/>
        <v>7800000</v>
      </c>
      <c r="J320" s="11"/>
    </row>
    <row r="321" spans="1:10" x14ac:dyDescent="0.3">
      <c r="A321" s="211"/>
      <c r="B321" s="34" t="s">
        <v>303</v>
      </c>
      <c r="C321" s="67">
        <v>26</v>
      </c>
      <c r="D321" s="51" t="s">
        <v>36</v>
      </c>
      <c r="E321" s="44">
        <v>225000</v>
      </c>
      <c r="F321" s="44">
        <v>75000</v>
      </c>
      <c r="G321" s="14">
        <f t="shared" si="66"/>
        <v>5850000</v>
      </c>
      <c r="H321" s="14">
        <f t="shared" si="67"/>
        <v>1950000</v>
      </c>
      <c r="I321" s="16">
        <f t="shared" si="68"/>
        <v>7800000</v>
      </c>
      <c r="J321" s="11"/>
    </row>
    <row r="322" spans="1:10" x14ac:dyDescent="0.3">
      <c r="A322" s="211"/>
      <c r="B322" s="34" t="s">
        <v>304</v>
      </c>
      <c r="C322" s="67">
        <v>35</v>
      </c>
      <c r="D322" s="51" t="s">
        <v>36</v>
      </c>
      <c r="E322" s="44">
        <v>225000</v>
      </c>
      <c r="F322" s="44">
        <v>75000</v>
      </c>
      <c r="G322" s="14">
        <f t="shared" si="66"/>
        <v>7875000</v>
      </c>
      <c r="H322" s="14">
        <f t="shared" si="67"/>
        <v>2625000</v>
      </c>
      <c r="I322" s="16">
        <f t="shared" si="68"/>
        <v>10500000</v>
      </c>
      <c r="J322" s="11"/>
    </row>
    <row r="323" spans="1:10" x14ac:dyDescent="0.3">
      <c r="A323" s="211"/>
      <c r="B323" s="13" t="s">
        <v>305</v>
      </c>
      <c r="C323" s="67">
        <v>1</v>
      </c>
      <c r="D323" s="51" t="s">
        <v>36</v>
      </c>
      <c r="E323" s="44">
        <v>225000</v>
      </c>
      <c r="F323" s="44">
        <v>75000</v>
      </c>
      <c r="G323" s="14">
        <f t="shared" si="66"/>
        <v>225000</v>
      </c>
      <c r="H323" s="14">
        <f t="shared" si="67"/>
        <v>75000</v>
      </c>
      <c r="I323" s="16">
        <f t="shared" si="68"/>
        <v>300000</v>
      </c>
      <c r="J323" s="11"/>
    </row>
    <row r="324" spans="1:10" x14ac:dyDescent="0.3">
      <c r="A324" s="211"/>
      <c r="B324" s="13" t="s">
        <v>306</v>
      </c>
      <c r="C324" s="67">
        <v>1</v>
      </c>
      <c r="D324" s="51" t="s">
        <v>36</v>
      </c>
      <c r="E324" s="44">
        <v>225000</v>
      </c>
      <c r="F324" s="44">
        <v>75000</v>
      </c>
      <c r="G324" s="14">
        <f t="shared" si="66"/>
        <v>225000</v>
      </c>
      <c r="H324" s="14">
        <f t="shared" si="67"/>
        <v>75000</v>
      </c>
      <c r="I324" s="16">
        <f t="shared" si="68"/>
        <v>300000</v>
      </c>
      <c r="J324" s="11"/>
    </row>
    <row r="325" spans="1:10" x14ac:dyDescent="0.3">
      <c r="A325" s="76">
        <f>A317+1</f>
        <v>2</v>
      </c>
      <c r="B325" s="57" t="s">
        <v>340</v>
      </c>
      <c r="C325" s="69">
        <v>1</v>
      </c>
      <c r="D325" s="73" t="s">
        <v>36</v>
      </c>
      <c r="E325" s="173">
        <v>900000</v>
      </c>
      <c r="F325" s="119">
        <v>75000</v>
      </c>
      <c r="G325" s="119">
        <f t="shared" si="66"/>
        <v>900000</v>
      </c>
      <c r="H325" s="119">
        <f t="shared" si="67"/>
        <v>75000</v>
      </c>
      <c r="I325" s="120">
        <f t="shared" si="68"/>
        <v>975000</v>
      </c>
      <c r="J325" s="121"/>
    </row>
    <row r="326" spans="1:10" x14ac:dyDescent="0.3">
      <c r="A326" s="76">
        <f>A325+1</f>
        <v>3</v>
      </c>
      <c r="B326" s="57" t="s">
        <v>344</v>
      </c>
      <c r="C326" s="69">
        <v>1</v>
      </c>
      <c r="D326" s="73" t="s">
        <v>341</v>
      </c>
      <c r="E326" s="173">
        <v>7500000</v>
      </c>
      <c r="F326" s="119">
        <v>1500000</v>
      </c>
      <c r="G326" s="119">
        <f t="shared" si="66"/>
        <v>7500000</v>
      </c>
      <c r="H326" s="119">
        <f t="shared" si="67"/>
        <v>1500000</v>
      </c>
      <c r="I326" s="120">
        <f t="shared" si="68"/>
        <v>9000000</v>
      </c>
      <c r="J326" s="121"/>
    </row>
    <row r="327" spans="1:10" x14ac:dyDescent="0.3">
      <c r="A327" s="183">
        <f t="shared" ref="A327:A345" si="69">A326+1</f>
        <v>4</v>
      </c>
      <c r="B327" s="184" t="s">
        <v>307</v>
      </c>
      <c r="C327" s="74">
        <v>1</v>
      </c>
      <c r="D327" s="56" t="s">
        <v>341</v>
      </c>
      <c r="E327" s="173">
        <v>550000</v>
      </c>
      <c r="F327" s="119">
        <v>100000</v>
      </c>
      <c r="G327" s="119">
        <f t="shared" si="66"/>
        <v>550000</v>
      </c>
      <c r="H327" s="119">
        <f t="shared" si="67"/>
        <v>100000</v>
      </c>
      <c r="I327" s="120">
        <f t="shared" si="68"/>
        <v>650000</v>
      </c>
      <c r="J327" s="121"/>
    </row>
    <row r="328" spans="1:10" x14ac:dyDescent="0.3">
      <c r="A328" s="29">
        <f t="shared" si="69"/>
        <v>5</v>
      </c>
      <c r="B328" s="30" t="s">
        <v>308</v>
      </c>
      <c r="C328" s="49">
        <v>84</v>
      </c>
      <c r="D328" s="51" t="s">
        <v>309</v>
      </c>
      <c r="E328" s="44">
        <v>450000</v>
      </c>
      <c r="F328" s="14">
        <v>150000</v>
      </c>
      <c r="G328" s="14">
        <f t="shared" si="66"/>
        <v>37800000</v>
      </c>
      <c r="H328" s="14">
        <f t="shared" si="67"/>
        <v>12600000</v>
      </c>
      <c r="I328" s="16">
        <f t="shared" si="68"/>
        <v>50400000</v>
      </c>
      <c r="J328" s="11"/>
    </row>
    <row r="329" spans="1:10" x14ac:dyDescent="0.3">
      <c r="A329" s="29">
        <f t="shared" si="69"/>
        <v>6</v>
      </c>
      <c r="B329" s="30" t="s">
        <v>310</v>
      </c>
      <c r="C329" s="49">
        <v>70</v>
      </c>
      <c r="D329" s="51" t="s">
        <v>309</v>
      </c>
      <c r="E329" s="44">
        <v>500000</v>
      </c>
      <c r="F329" s="14">
        <v>150000</v>
      </c>
      <c r="G329" s="14">
        <f t="shared" si="66"/>
        <v>35000000</v>
      </c>
      <c r="H329" s="14">
        <f t="shared" si="67"/>
        <v>10500000</v>
      </c>
      <c r="I329" s="16">
        <f t="shared" si="68"/>
        <v>45500000</v>
      </c>
      <c r="J329" s="11"/>
    </row>
    <row r="330" spans="1:10" x14ac:dyDescent="0.3">
      <c r="A330" s="29">
        <f t="shared" si="69"/>
        <v>7</v>
      </c>
      <c r="B330" s="30" t="s">
        <v>311</v>
      </c>
      <c r="C330" s="49">
        <v>4</v>
      </c>
      <c r="D330" s="51" t="s">
        <v>309</v>
      </c>
      <c r="E330" s="44">
        <v>550000</v>
      </c>
      <c r="F330" s="14">
        <v>150000</v>
      </c>
      <c r="G330" s="14">
        <f t="shared" si="66"/>
        <v>2200000</v>
      </c>
      <c r="H330" s="14">
        <f t="shared" si="67"/>
        <v>600000</v>
      </c>
      <c r="I330" s="16">
        <f t="shared" si="68"/>
        <v>2800000</v>
      </c>
      <c r="J330" s="11"/>
    </row>
    <row r="331" spans="1:10" x14ac:dyDescent="0.3">
      <c r="A331" s="29">
        <f t="shared" si="69"/>
        <v>8</v>
      </c>
      <c r="B331" s="30" t="s">
        <v>312</v>
      </c>
      <c r="C331" s="49">
        <v>180</v>
      </c>
      <c r="D331" s="51" t="s">
        <v>61</v>
      </c>
      <c r="E331" s="44">
        <v>30000</v>
      </c>
      <c r="F331" s="14">
        <v>10000</v>
      </c>
      <c r="G331" s="14">
        <f t="shared" si="66"/>
        <v>5400000</v>
      </c>
      <c r="H331" s="14">
        <f t="shared" si="67"/>
        <v>1800000</v>
      </c>
      <c r="I331" s="16">
        <f t="shared" si="68"/>
        <v>7200000</v>
      </c>
      <c r="J331" s="11"/>
    </row>
    <row r="332" spans="1:10" x14ac:dyDescent="0.3">
      <c r="A332" s="76">
        <f t="shared" si="69"/>
        <v>9</v>
      </c>
      <c r="B332" s="75" t="s">
        <v>342</v>
      </c>
      <c r="C332" s="69">
        <v>12</v>
      </c>
      <c r="D332" s="73" t="s">
        <v>345</v>
      </c>
      <c r="E332" s="173">
        <v>900000</v>
      </c>
      <c r="F332" s="119">
        <v>250000</v>
      </c>
      <c r="G332" s="119">
        <f t="shared" si="66"/>
        <v>10800000</v>
      </c>
      <c r="H332" s="119">
        <f t="shared" si="67"/>
        <v>3000000</v>
      </c>
      <c r="I332" s="120">
        <f t="shared" si="68"/>
        <v>13800000</v>
      </c>
      <c r="J332" s="121"/>
    </row>
    <row r="333" spans="1:10" x14ac:dyDescent="0.3">
      <c r="A333" s="76">
        <f t="shared" si="69"/>
        <v>10</v>
      </c>
      <c r="B333" s="75" t="s">
        <v>343</v>
      </c>
      <c r="C333" s="69">
        <v>12</v>
      </c>
      <c r="D333" s="73" t="s">
        <v>345</v>
      </c>
      <c r="E333" s="173">
        <v>150000</v>
      </c>
      <c r="F333" s="119">
        <v>50000</v>
      </c>
      <c r="G333" s="119">
        <f t="shared" si="66"/>
        <v>1800000</v>
      </c>
      <c r="H333" s="119">
        <f t="shared" si="67"/>
        <v>600000</v>
      </c>
      <c r="I333" s="120">
        <f t="shared" si="68"/>
        <v>2400000</v>
      </c>
      <c r="J333" s="121"/>
    </row>
    <row r="334" spans="1:10" x14ac:dyDescent="0.3">
      <c r="A334" s="29">
        <f t="shared" si="69"/>
        <v>11</v>
      </c>
      <c r="B334" s="30" t="s">
        <v>313</v>
      </c>
      <c r="C334" s="49">
        <v>39</v>
      </c>
      <c r="D334" s="51" t="s">
        <v>309</v>
      </c>
      <c r="E334" s="44">
        <v>250000</v>
      </c>
      <c r="F334" s="14">
        <v>75000</v>
      </c>
      <c r="G334" s="14">
        <f t="shared" si="66"/>
        <v>9750000</v>
      </c>
      <c r="H334" s="14">
        <f t="shared" si="67"/>
        <v>2925000</v>
      </c>
      <c r="I334" s="16">
        <f t="shared" si="68"/>
        <v>12675000</v>
      </c>
      <c r="J334" s="11"/>
    </row>
    <row r="335" spans="1:10" x14ac:dyDescent="0.3">
      <c r="A335" s="29">
        <f t="shared" si="69"/>
        <v>12</v>
      </c>
      <c r="B335" s="30" t="s">
        <v>314</v>
      </c>
      <c r="C335" s="49">
        <v>19</v>
      </c>
      <c r="D335" s="51" t="s">
        <v>309</v>
      </c>
      <c r="E335" s="44">
        <v>275000</v>
      </c>
      <c r="F335" s="14">
        <v>75000</v>
      </c>
      <c r="G335" s="14">
        <f t="shared" si="66"/>
        <v>5225000</v>
      </c>
      <c r="H335" s="14">
        <f t="shared" si="67"/>
        <v>1425000</v>
      </c>
      <c r="I335" s="16">
        <f t="shared" si="68"/>
        <v>6650000</v>
      </c>
      <c r="J335" s="11"/>
    </row>
    <row r="336" spans="1:10" x14ac:dyDescent="0.3">
      <c r="A336" s="29">
        <f t="shared" si="69"/>
        <v>13</v>
      </c>
      <c r="B336" s="30" t="s">
        <v>315</v>
      </c>
      <c r="C336" s="49">
        <v>133</v>
      </c>
      <c r="D336" s="51" t="s">
        <v>309</v>
      </c>
      <c r="E336" s="44">
        <v>250000</v>
      </c>
      <c r="F336" s="14">
        <v>75000</v>
      </c>
      <c r="G336" s="14">
        <f t="shared" si="66"/>
        <v>33250000</v>
      </c>
      <c r="H336" s="14">
        <f t="shared" si="67"/>
        <v>9975000</v>
      </c>
      <c r="I336" s="16">
        <f t="shared" si="68"/>
        <v>43225000</v>
      </c>
      <c r="J336" s="11"/>
    </row>
    <row r="337" spans="1:10" x14ac:dyDescent="0.3">
      <c r="A337" s="29">
        <f t="shared" si="69"/>
        <v>14</v>
      </c>
      <c r="B337" s="37" t="s">
        <v>316</v>
      </c>
      <c r="C337" s="49">
        <v>17</v>
      </c>
      <c r="D337" s="51" t="s">
        <v>309</v>
      </c>
      <c r="E337" s="44">
        <v>250000</v>
      </c>
      <c r="F337" s="14">
        <v>75000</v>
      </c>
      <c r="G337" s="14">
        <f t="shared" si="66"/>
        <v>4250000</v>
      </c>
      <c r="H337" s="14">
        <f t="shared" si="67"/>
        <v>1275000</v>
      </c>
      <c r="I337" s="16">
        <f t="shared" si="68"/>
        <v>5525000</v>
      </c>
      <c r="J337" s="11"/>
    </row>
    <row r="338" spans="1:10" x14ac:dyDescent="0.3">
      <c r="A338" s="29">
        <f t="shared" si="69"/>
        <v>15</v>
      </c>
      <c r="B338" s="30" t="s">
        <v>317</v>
      </c>
      <c r="C338" s="49">
        <v>53</v>
      </c>
      <c r="D338" s="51" t="s">
        <v>309</v>
      </c>
      <c r="E338" s="44">
        <v>250000</v>
      </c>
      <c r="F338" s="14">
        <v>75000</v>
      </c>
      <c r="G338" s="14">
        <f t="shared" si="66"/>
        <v>13250000</v>
      </c>
      <c r="H338" s="14">
        <f t="shared" si="67"/>
        <v>3975000</v>
      </c>
      <c r="I338" s="16">
        <f t="shared" si="68"/>
        <v>17225000</v>
      </c>
      <c r="J338" s="11"/>
    </row>
    <row r="339" spans="1:10" x14ac:dyDescent="0.3">
      <c r="A339" s="29">
        <f t="shared" si="69"/>
        <v>16</v>
      </c>
      <c r="B339" s="30" t="s">
        <v>318</v>
      </c>
      <c r="C339" s="49">
        <v>7</v>
      </c>
      <c r="D339" s="51" t="s">
        <v>36</v>
      </c>
      <c r="E339" s="44">
        <v>4350000</v>
      </c>
      <c r="F339" s="14">
        <v>650000</v>
      </c>
      <c r="G339" s="14">
        <f t="shared" si="66"/>
        <v>30450000</v>
      </c>
      <c r="H339" s="14">
        <f t="shared" si="67"/>
        <v>4550000</v>
      </c>
      <c r="I339" s="16">
        <f t="shared" si="68"/>
        <v>35000000</v>
      </c>
      <c r="J339" s="11"/>
    </row>
    <row r="340" spans="1:10" x14ac:dyDescent="0.3">
      <c r="A340" s="29">
        <f t="shared" si="69"/>
        <v>17</v>
      </c>
      <c r="B340" s="30" t="s">
        <v>319</v>
      </c>
      <c r="C340" s="49">
        <v>2</v>
      </c>
      <c r="D340" s="51" t="s">
        <v>36</v>
      </c>
      <c r="E340" s="44">
        <v>4600000</v>
      </c>
      <c r="F340" s="14">
        <v>650000</v>
      </c>
      <c r="G340" s="14">
        <f t="shared" si="66"/>
        <v>9200000</v>
      </c>
      <c r="H340" s="14">
        <f t="shared" si="67"/>
        <v>1300000</v>
      </c>
      <c r="I340" s="16">
        <f t="shared" si="68"/>
        <v>10500000</v>
      </c>
      <c r="J340" s="11"/>
    </row>
    <row r="341" spans="1:10" x14ac:dyDescent="0.3">
      <c r="A341" s="29">
        <f t="shared" si="69"/>
        <v>18</v>
      </c>
      <c r="B341" s="30" t="s">
        <v>320</v>
      </c>
      <c r="C341" s="49">
        <v>8</v>
      </c>
      <c r="D341" s="51" t="s">
        <v>36</v>
      </c>
      <c r="E341" s="44">
        <v>6250000</v>
      </c>
      <c r="F341" s="14">
        <v>750000</v>
      </c>
      <c r="G341" s="14">
        <f t="shared" si="66"/>
        <v>50000000</v>
      </c>
      <c r="H341" s="14">
        <f t="shared" si="67"/>
        <v>6000000</v>
      </c>
      <c r="I341" s="16">
        <f t="shared" si="68"/>
        <v>56000000</v>
      </c>
      <c r="J341" s="11"/>
    </row>
    <row r="342" spans="1:10" x14ac:dyDescent="0.3">
      <c r="A342" s="29">
        <f t="shared" si="69"/>
        <v>19</v>
      </c>
      <c r="B342" s="30" t="s">
        <v>321</v>
      </c>
      <c r="C342" s="49">
        <v>20</v>
      </c>
      <c r="D342" s="51" t="s">
        <v>36</v>
      </c>
      <c r="E342" s="44">
        <v>8500000</v>
      </c>
      <c r="F342" s="14">
        <v>900000</v>
      </c>
      <c r="G342" s="14">
        <f t="shared" si="66"/>
        <v>170000000</v>
      </c>
      <c r="H342" s="14">
        <f t="shared" si="67"/>
        <v>18000000</v>
      </c>
      <c r="I342" s="16">
        <f t="shared" si="68"/>
        <v>188000000</v>
      </c>
      <c r="J342" s="11"/>
    </row>
    <row r="343" spans="1:10" x14ac:dyDescent="0.3">
      <c r="A343" s="29">
        <f t="shared" si="69"/>
        <v>20</v>
      </c>
      <c r="B343" s="37" t="s">
        <v>322</v>
      </c>
      <c r="C343" s="49">
        <v>5</v>
      </c>
      <c r="D343" s="51" t="s">
        <v>36</v>
      </c>
      <c r="E343" s="44">
        <v>16031400.000000002</v>
      </c>
      <c r="F343" s="14">
        <v>1603140.0000000002</v>
      </c>
      <c r="G343" s="14">
        <f t="shared" si="66"/>
        <v>80157000.000000015</v>
      </c>
      <c r="H343" s="14">
        <f t="shared" si="67"/>
        <v>8015700.0000000009</v>
      </c>
      <c r="I343" s="16">
        <f t="shared" si="68"/>
        <v>88172700.000000015</v>
      </c>
      <c r="J343" s="11"/>
    </row>
    <row r="344" spans="1:10" x14ac:dyDescent="0.3">
      <c r="A344" s="29">
        <f t="shared" si="69"/>
        <v>21</v>
      </c>
      <c r="B344" s="30" t="s">
        <v>323</v>
      </c>
      <c r="C344" s="49">
        <v>5</v>
      </c>
      <c r="D344" s="51" t="s">
        <v>36</v>
      </c>
      <c r="E344" s="44">
        <v>27656475.000000004</v>
      </c>
      <c r="F344" s="14">
        <v>2765647.5000000005</v>
      </c>
      <c r="G344" s="14">
        <f t="shared" si="66"/>
        <v>138282375.00000003</v>
      </c>
      <c r="H344" s="14">
        <f t="shared" si="67"/>
        <v>13828237.500000002</v>
      </c>
      <c r="I344" s="16">
        <f t="shared" si="68"/>
        <v>152110612.50000003</v>
      </c>
      <c r="J344" s="11"/>
    </row>
    <row r="345" spans="1:10" x14ac:dyDescent="0.3">
      <c r="A345" s="29">
        <f t="shared" si="69"/>
        <v>22</v>
      </c>
      <c r="B345" s="37" t="s">
        <v>324</v>
      </c>
      <c r="C345" s="49">
        <v>6</v>
      </c>
      <c r="D345" s="51" t="s">
        <v>36</v>
      </c>
      <c r="E345" s="44">
        <v>32045475.000000004</v>
      </c>
      <c r="F345" s="14">
        <v>3204547.5000000005</v>
      </c>
      <c r="G345" s="14">
        <f t="shared" si="66"/>
        <v>192272850.00000003</v>
      </c>
      <c r="H345" s="14">
        <f t="shared" si="67"/>
        <v>19227285.000000004</v>
      </c>
      <c r="I345" s="16">
        <f t="shared" si="68"/>
        <v>211500135.00000003</v>
      </c>
      <c r="J345" s="11"/>
    </row>
    <row r="346" spans="1:10" x14ac:dyDescent="0.3">
      <c r="A346" s="211">
        <f>A345+1</f>
        <v>23</v>
      </c>
      <c r="B346" s="30" t="s">
        <v>325</v>
      </c>
      <c r="C346" s="49"/>
      <c r="D346" s="51"/>
      <c r="E346" s="44"/>
      <c r="F346" s="14"/>
      <c r="G346" s="14"/>
      <c r="H346" s="14"/>
      <c r="I346" s="16"/>
      <c r="J346" s="11"/>
    </row>
    <row r="347" spans="1:10" x14ac:dyDescent="0.3">
      <c r="A347" s="211"/>
      <c r="B347" s="37" t="s">
        <v>326</v>
      </c>
      <c r="C347" s="49">
        <v>1300</v>
      </c>
      <c r="D347" s="51" t="s">
        <v>61</v>
      </c>
      <c r="E347" s="44">
        <v>26500</v>
      </c>
      <c r="F347" s="14">
        <v>3750</v>
      </c>
      <c r="G347" s="14">
        <f>C347*E347</f>
        <v>34450000</v>
      </c>
      <c r="H347" s="14">
        <f>C347*F347</f>
        <v>4875000</v>
      </c>
      <c r="I347" s="16">
        <f t="shared" ref="I347:I351" si="70">G347+H347</f>
        <v>39325000</v>
      </c>
      <c r="J347" s="25"/>
    </row>
    <row r="348" spans="1:10" x14ac:dyDescent="0.3">
      <c r="A348" s="211"/>
      <c r="B348" s="37" t="s">
        <v>327</v>
      </c>
      <c r="C348" s="49">
        <v>650</v>
      </c>
      <c r="D348" s="51" t="s">
        <v>61</v>
      </c>
      <c r="E348" s="44">
        <v>20000</v>
      </c>
      <c r="F348" s="14">
        <v>3000</v>
      </c>
      <c r="G348" s="14">
        <f>C348*E348</f>
        <v>13000000</v>
      </c>
      <c r="H348" s="14">
        <f>C348*F348</f>
        <v>1950000</v>
      </c>
      <c r="I348" s="16">
        <f t="shared" si="70"/>
        <v>14950000</v>
      </c>
      <c r="J348" s="25"/>
    </row>
    <row r="349" spans="1:10" x14ac:dyDescent="0.3">
      <c r="A349" s="211"/>
      <c r="B349" s="37" t="s">
        <v>328</v>
      </c>
      <c r="C349" s="49">
        <v>750</v>
      </c>
      <c r="D349" s="51" t="s">
        <v>61</v>
      </c>
      <c r="E349" s="44">
        <v>15000</v>
      </c>
      <c r="F349" s="14">
        <v>2250</v>
      </c>
      <c r="G349" s="14">
        <f>C349*E349</f>
        <v>11250000</v>
      </c>
      <c r="H349" s="14">
        <f>C349*F349</f>
        <v>1687500</v>
      </c>
      <c r="I349" s="16">
        <f t="shared" si="70"/>
        <v>12937500</v>
      </c>
      <c r="J349" s="25"/>
    </row>
    <row r="350" spans="1:10" x14ac:dyDescent="0.3">
      <c r="A350" s="15">
        <f>A346+1</f>
        <v>24</v>
      </c>
      <c r="B350" s="37" t="s">
        <v>329</v>
      </c>
      <c r="C350" s="49">
        <v>1</v>
      </c>
      <c r="D350" s="51" t="s">
        <v>309</v>
      </c>
      <c r="E350" s="44">
        <v>7000000</v>
      </c>
      <c r="F350" s="14">
        <v>2500000</v>
      </c>
      <c r="G350" s="14">
        <f>C350*E350</f>
        <v>7000000</v>
      </c>
      <c r="H350" s="14">
        <f>C350*F350</f>
        <v>2500000</v>
      </c>
      <c r="I350" s="16">
        <f t="shared" si="70"/>
        <v>9500000</v>
      </c>
      <c r="J350" s="25"/>
    </row>
    <row r="351" spans="1:10" ht="15" thickBot="1" x14ac:dyDescent="0.35">
      <c r="A351" s="15">
        <f>A350+1</f>
        <v>25</v>
      </c>
      <c r="B351" s="37" t="s">
        <v>330</v>
      </c>
      <c r="C351" s="52">
        <v>2</v>
      </c>
      <c r="D351" s="53" t="s">
        <v>309</v>
      </c>
      <c r="E351" s="44">
        <v>6000000</v>
      </c>
      <c r="F351" s="14">
        <v>1500000</v>
      </c>
      <c r="G351" s="14">
        <f>C351*E351</f>
        <v>12000000</v>
      </c>
      <c r="H351" s="14">
        <f>C351*F351</f>
        <v>3000000</v>
      </c>
      <c r="I351" s="16">
        <f t="shared" si="70"/>
        <v>15000000</v>
      </c>
      <c r="J351" s="25"/>
    </row>
    <row r="352" spans="1:10" x14ac:dyDescent="0.3">
      <c r="A352" s="204" t="s">
        <v>331</v>
      </c>
      <c r="B352" s="193"/>
      <c r="C352" s="193"/>
      <c r="D352" s="193"/>
      <c r="E352" s="91"/>
      <c r="F352" s="91"/>
      <c r="G352" s="91"/>
      <c r="H352" s="92"/>
      <c r="I352" s="20">
        <f>SUM(I318:I351)</f>
        <v>1085720947.5</v>
      </c>
      <c r="J352" s="25"/>
    </row>
    <row r="353" spans="1:10" x14ac:dyDescent="0.3">
      <c r="A353" s="18"/>
      <c r="B353" s="77"/>
      <c r="C353" s="77"/>
      <c r="D353" s="77"/>
      <c r="E353" s="77"/>
      <c r="F353" s="77"/>
      <c r="G353" s="77"/>
      <c r="H353" s="77"/>
      <c r="I353" s="95"/>
      <c r="J353" s="96"/>
    </row>
    <row r="354" spans="1:10" x14ac:dyDescent="0.3">
      <c r="A354" s="201" t="s">
        <v>332</v>
      </c>
      <c r="B354" s="202"/>
      <c r="C354" s="202"/>
      <c r="D354" s="202"/>
      <c r="E354" s="91"/>
      <c r="F354" s="91"/>
      <c r="G354" s="91"/>
      <c r="H354" s="92"/>
      <c r="I354" s="20">
        <f>I37+I52+I120+I169+I182+I192+I206+I215+I238+I245+I281+I315+I352</f>
        <v>16608195045.081678</v>
      </c>
      <c r="J354" s="15"/>
    </row>
    <row r="355" spans="1:10" x14ac:dyDescent="0.3">
      <c r="A355" s="201" t="s">
        <v>347</v>
      </c>
      <c r="B355" s="202"/>
      <c r="C355" s="202"/>
      <c r="D355" s="202"/>
      <c r="E355" s="91"/>
      <c r="F355" s="91"/>
      <c r="G355" s="91"/>
      <c r="H355" s="92"/>
      <c r="I355" s="38">
        <f>ROUNDDOWN(I354,-5)</f>
        <v>16608100000</v>
      </c>
      <c r="J355" s="15"/>
    </row>
    <row r="356" spans="1:10" x14ac:dyDescent="0.3">
      <c r="A356" s="201" t="s">
        <v>361</v>
      </c>
      <c r="B356" s="202"/>
      <c r="C356" s="202"/>
      <c r="D356" s="202"/>
      <c r="E356" s="91"/>
      <c r="F356" s="91"/>
      <c r="G356" s="91"/>
      <c r="H356" s="92"/>
      <c r="I356" s="38">
        <f>I355*11%</f>
        <v>1826891000</v>
      </c>
      <c r="J356" s="38"/>
    </row>
    <row r="357" spans="1:10" x14ac:dyDescent="0.3">
      <c r="A357" s="201" t="s">
        <v>333</v>
      </c>
      <c r="B357" s="202"/>
      <c r="C357" s="202"/>
      <c r="D357" s="202"/>
      <c r="E357" s="91"/>
      <c r="F357" s="91"/>
      <c r="G357" s="91"/>
      <c r="H357" s="92"/>
      <c r="I357" s="82">
        <f>SUM(I355:I356)</f>
        <v>18434991000</v>
      </c>
      <c r="J357" s="39"/>
    </row>
    <row r="358" spans="1:10" x14ac:dyDescent="0.3">
      <c r="C358"/>
      <c r="D358"/>
      <c r="E358"/>
      <c r="F358"/>
    </row>
    <row r="359" spans="1:10" x14ac:dyDescent="0.3">
      <c r="A359" s="6" t="s">
        <v>334</v>
      </c>
      <c r="B359" s="83"/>
      <c r="C359"/>
      <c r="D359"/>
      <c r="E359"/>
      <c r="F359"/>
      <c r="G359"/>
      <c r="H359"/>
      <c r="J359"/>
    </row>
    <row r="360" spans="1:10" x14ac:dyDescent="0.3">
      <c r="A360" s="1" t="s">
        <v>362</v>
      </c>
      <c r="B360" s="83" t="s">
        <v>363</v>
      </c>
      <c r="C360"/>
      <c r="D360"/>
      <c r="E360"/>
      <c r="F360"/>
      <c r="G360"/>
      <c r="H360"/>
      <c r="J360"/>
    </row>
    <row r="361" spans="1:10" x14ac:dyDescent="0.3">
      <c r="A361" s="83"/>
      <c r="B361" s="83" t="s">
        <v>364</v>
      </c>
      <c r="C361"/>
      <c r="D361"/>
      <c r="E361"/>
      <c r="F361"/>
      <c r="G361"/>
      <c r="H361"/>
      <c r="J361"/>
    </row>
    <row r="362" spans="1:10" x14ac:dyDescent="0.3">
      <c r="A362" s="1" t="s">
        <v>365</v>
      </c>
      <c r="B362" s="83" t="s">
        <v>366</v>
      </c>
      <c r="C362"/>
      <c r="D362"/>
      <c r="E362"/>
      <c r="F362"/>
      <c r="G362"/>
      <c r="H362"/>
      <c r="J362"/>
    </row>
    <row r="363" spans="1:10" x14ac:dyDescent="0.3">
      <c r="A363" s="83"/>
      <c r="B363" s="83" t="s">
        <v>367</v>
      </c>
      <c r="C363"/>
      <c r="D363"/>
      <c r="E363"/>
      <c r="F363"/>
      <c r="G363"/>
      <c r="H363"/>
      <c r="J363"/>
    </row>
    <row r="364" spans="1:10" x14ac:dyDescent="0.3">
      <c r="A364" s="1">
        <v>3</v>
      </c>
      <c r="B364" s="83" t="s">
        <v>368</v>
      </c>
      <c r="C364"/>
      <c r="D364"/>
      <c r="E364"/>
      <c r="F364"/>
      <c r="G364"/>
      <c r="H364"/>
      <c r="J364"/>
    </row>
    <row r="365" spans="1:10" x14ac:dyDescent="0.3">
      <c r="A365" s="86"/>
      <c r="B365" s="186" t="s">
        <v>369</v>
      </c>
      <c r="C365"/>
      <c r="D365"/>
      <c r="E365"/>
      <c r="F365"/>
      <c r="G365"/>
      <c r="H365"/>
      <c r="J365"/>
    </row>
    <row r="366" spans="1:10" x14ac:dyDescent="0.3">
      <c r="A366" s="1" t="s">
        <v>370</v>
      </c>
      <c r="B366" s="83" t="s">
        <v>371</v>
      </c>
      <c r="C366"/>
      <c r="D366"/>
      <c r="E366"/>
      <c r="F366"/>
      <c r="G366"/>
      <c r="H366"/>
      <c r="J366"/>
    </row>
    <row r="367" spans="1:10" x14ac:dyDescent="0.3">
      <c r="A367" s="1" t="s">
        <v>372</v>
      </c>
      <c r="B367" s="83" t="s">
        <v>373</v>
      </c>
      <c r="C367"/>
      <c r="D367"/>
      <c r="E367"/>
      <c r="F367"/>
      <c r="H367" s="79"/>
      <c r="I367" s="78"/>
      <c r="J367" s="80"/>
    </row>
    <row r="368" spans="1:10" x14ac:dyDescent="0.3">
      <c r="C368"/>
      <c r="D368"/>
      <c r="E368"/>
      <c r="F368"/>
      <c r="H368" s="79"/>
      <c r="I368" s="78"/>
      <c r="J368" s="81"/>
    </row>
    <row r="369" spans="1:10" x14ac:dyDescent="0.3">
      <c r="A369" s="83" t="s">
        <v>375</v>
      </c>
      <c r="B369" s="83"/>
      <c r="C369" s="84"/>
      <c r="D369" s="85"/>
      <c r="E369"/>
      <c r="F369"/>
      <c r="G369"/>
      <c r="H369"/>
      <c r="J369"/>
    </row>
    <row r="370" spans="1:10" x14ac:dyDescent="0.3">
      <c r="A370" s="6" t="s">
        <v>348</v>
      </c>
      <c r="B370" s="83"/>
      <c r="C370" s="84"/>
      <c r="D370" s="85"/>
      <c r="E370"/>
      <c r="F370"/>
      <c r="G370"/>
      <c r="H370"/>
      <c r="J370"/>
    </row>
    <row r="371" spans="1:10" x14ac:dyDescent="0.3">
      <c r="A371" s="215"/>
      <c r="B371" s="215"/>
      <c r="C371" s="84"/>
      <c r="D371" s="85"/>
      <c r="E371"/>
      <c r="F371"/>
      <c r="G371"/>
      <c r="H371"/>
      <c r="J371"/>
    </row>
    <row r="372" spans="1:10" x14ac:dyDescent="0.3">
      <c r="A372" s="215"/>
      <c r="B372" s="215"/>
      <c r="C372" s="84"/>
      <c r="D372" s="85"/>
      <c r="E372"/>
      <c r="F372"/>
      <c r="G372"/>
      <c r="H372"/>
      <c r="J372"/>
    </row>
    <row r="373" spans="1:10" x14ac:dyDescent="0.3">
      <c r="A373" s="215"/>
      <c r="B373" s="215"/>
      <c r="C373" s="84"/>
      <c r="D373" s="85"/>
      <c r="E373"/>
      <c r="F373"/>
      <c r="G373"/>
      <c r="H373"/>
      <c r="J373"/>
    </row>
    <row r="374" spans="1:10" x14ac:dyDescent="0.3">
      <c r="A374" s="215"/>
      <c r="B374" s="215"/>
      <c r="C374" s="84"/>
      <c r="D374" s="85"/>
      <c r="E374"/>
      <c r="F374"/>
      <c r="G374"/>
      <c r="H374"/>
      <c r="J374"/>
    </row>
    <row r="375" spans="1:10" x14ac:dyDescent="0.3">
      <c r="A375" s="86" t="s">
        <v>349</v>
      </c>
      <c r="B375" s="86"/>
      <c r="C375" s="84"/>
      <c r="D375" s="85"/>
      <c r="E375"/>
      <c r="F375"/>
      <c r="G375"/>
      <c r="H375"/>
      <c r="J375"/>
    </row>
    <row r="376" spans="1:10" x14ac:dyDescent="0.3">
      <c r="A376" s="83" t="s">
        <v>350</v>
      </c>
      <c r="B376" s="83"/>
      <c r="C376" s="84"/>
      <c r="D376" s="85"/>
      <c r="E376"/>
      <c r="F376"/>
      <c r="G376"/>
      <c r="H376"/>
      <c r="J376"/>
    </row>
    <row r="377" spans="1:10" x14ac:dyDescent="0.3">
      <c r="C377"/>
      <c r="D377"/>
      <c r="E377"/>
      <c r="F377"/>
    </row>
    <row r="378" spans="1:10" x14ac:dyDescent="0.3">
      <c r="C378"/>
      <c r="D378"/>
      <c r="E378"/>
      <c r="F378"/>
    </row>
    <row r="379" spans="1:10" x14ac:dyDescent="0.3">
      <c r="C379"/>
      <c r="D379"/>
      <c r="E379"/>
      <c r="F379"/>
    </row>
    <row r="380" spans="1:10" x14ac:dyDescent="0.3">
      <c r="A380" s="40"/>
      <c r="C380"/>
      <c r="D380"/>
      <c r="E380"/>
      <c r="F380"/>
    </row>
    <row r="381" spans="1:10" x14ac:dyDescent="0.3">
      <c r="C381"/>
      <c r="D381"/>
      <c r="E381"/>
      <c r="F381"/>
    </row>
    <row r="382" spans="1:10" x14ac:dyDescent="0.3">
      <c r="C382"/>
      <c r="D382"/>
      <c r="E382"/>
      <c r="F382"/>
    </row>
    <row r="383" spans="1:10" x14ac:dyDescent="0.3">
      <c r="C383"/>
      <c r="D383"/>
      <c r="E383"/>
      <c r="F383"/>
    </row>
    <row r="384" spans="1:10" x14ac:dyDescent="0.3">
      <c r="C384"/>
      <c r="D384"/>
      <c r="E384"/>
      <c r="F384"/>
    </row>
    <row r="385" spans="3:10" x14ac:dyDescent="0.3">
      <c r="C385"/>
      <c r="D385"/>
      <c r="E385"/>
      <c r="F385"/>
      <c r="I385" s="215"/>
      <c r="J385" s="215"/>
    </row>
    <row r="386" spans="3:10" x14ac:dyDescent="0.3">
      <c r="I386" s="215"/>
      <c r="J386" s="215"/>
    </row>
    <row r="387" spans="3:10" x14ac:dyDescent="0.3">
      <c r="I387" s="215"/>
      <c r="J387" s="215"/>
    </row>
    <row r="388" spans="3:10" x14ac:dyDescent="0.3">
      <c r="I388" s="215"/>
      <c r="J388" s="215"/>
    </row>
    <row r="389" spans="3:10" x14ac:dyDescent="0.3">
      <c r="I389" s="215"/>
      <c r="J389" s="215"/>
    </row>
    <row r="390" spans="3:10" x14ac:dyDescent="0.3">
      <c r="I390" s="215"/>
      <c r="J390" s="215"/>
    </row>
    <row r="391" spans="3:10" x14ac:dyDescent="0.3">
      <c r="I391" s="215"/>
      <c r="J391" s="215"/>
    </row>
    <row r="392" spans="3:10" x14ac:dyDescent="0.3">
      <c r="I392" s="215"/>
      <c r="J392" s="215"/>
    </row>
    <row r="393" spans="3:10" x14ac:dyDescent="0.3">
      <c r="I393" s="215"/>
      <c r="J393" s="215"/>
    </row>
    <row r="394" spans="3:10" x14ac:dyDescent="0.3">
      <c r="I394" s="215"/>
      <c r="J394" s="215"/>
    </row>
    <row r="395" spans="3:10" x14ac:dyDescent="0.3">
      <c r="I395" s="214"/>
      <c r="J395" s="214"/>
    </row>
    <row r="396" spans="3:10" x14ac:dyDescent="0.3">
      <c r="I396" s="215"/>
      <c r="J396" s="215"/>
    </row>
  </sheetData>
  <mergeCells count="85">
    <mergeCell ref="I395:J395"/>
    <mergeCell ref="I396:J396"/>
    <mergeCell ref="A371:B374"/>
    <mergeCell ref="A355:D355"/>
    <mergeCell ref="A356:D356"/>
    <mergeCell ref="A357:D357"/>
    <mergeCell ref="I385:J385"/>
    <mergeCell ref="I386:J386"/>
    <mergeCell ref="I387:J394"/>
    <mergeCell ref="A354:D354"/>
    <mergeCell ref="E281:H281"/>
    <mergeCell ref="A284:A286"/>
    <mergeCell ref="A287:A289"/>
    <mergeCell ref="A290:A292"/>
    <mergeCell ref="A300:A308"/>
    <mergeCell ref="A309:A314"/>
    <mergeCell ref="A315:D315"/>
    <mergeCell ref="E315:H315"/>
    <mergeCell ref="A317:A324"/>
    <mergeCell ref="A346:A349"/>
    <mergeCell ref="A352:D352"/>
    <mergeCell ref="A275:A278"/>
    <mergeCell ref="A230:A237"/>
    <mergeCell ref="A238:D238"/>
    <mergeCell ref="A245:D245"/>
    <mergeCell ref="E245:H245"/>
    <mergeCell ref="A247:A249"/>
    <mergeCell ref="A250:A253"/>
    <mergeCell ref="A254:A257"/>
    <mergeCell ref="A258:A260"/>
    <mergeCell ref="A261:A264"/>
    <mergeCell ref="A265:A268"/>
    <mergeCell ref="A269:A274"/>
    <mergeCell ref="E169:H169"/>
    <mergeCell ref="A217:A229"/>
    <mergeCell ref="A177:A181"/>
    <mergeCell ref="A182:D182"/>
    <mergeCell ref="E182:H182"/>
    <mergeCell ref="A184:A187"/>
    <mergeCell ref="A188:A191"/>
    <mergeCell ref="A192:D192"/>
    <mergeCell ref="A194:A199"/>
    <mergeCell ref="A200:A205"/>
    <mergeCell ref="A206:D206"/>
    <mergeCell ref="E206:H206"/>
    <mergeCell ref="A215:D215"/>
    <mergeCell ref="A172:A176"/>
    <mergeCell ref="A104:A109"/>
    <mergeCell ref="A110:A115"/>
    <mergeCell ref="A116:A117"/>
    <mergeCell ref="A118:A119"/>
    <mergeCell ref="A120:D120"/>
    <mergeCell ref="A122:A146"/>
    <mergeCell ref="A149:A158"/>
    <mergeCell ref="A159:A164"/>
    <mergeCell ref="A165:A168"/>
    <mergeCell ref="A169:D169"/>
    <mergeCell ref="A97:A103"/>
    <mergeCell ref="A35:A36"/>
    <mergeCell ref="A37:D37"/>
    <mergeCell ref="A52:D52"/>
    <mergeCell ref="A55:A57"/>
    <mergeCell ref="A59:A64"/>
    <mergeCell ref="A65:A70"/>
    <mergeCell ref="A71:A76"/>
    <mergeCell ref="A77:A81"/>
    <mergeCell ref="A82:A86"/>
    <mergeCell ref="A87:A91"/>
    <mergeCell ref="A92:A96"/>
    <mergeCell ref="A31:A33"/>
    <mergeCell ref="A6:J6"/>
    <mergeCell ref="A7:J7"/>
    <mergeCell ref="A8:J8"/>
    <mergeCell ref="A9:A11"/>
    <mergeCell ref="B9:B11"/>
    <mergeCell ref="C9:D9"/>
    <mergeCell ref="E9:F10"/>
    <mergeCell ref="G9:H10"/>
    <mergeCell ref="I9:I11"/>
    <mergeCell ref="J9:J11"/>
    <mergeCell ref="C10:C11"/>
    <mergeCell ref="D10:D11"/>
    <mergeCell ref="A14:A20"/>
    <mergeCell ref="A24:A26"/>
    <mergeCell ref="A27:A30"/>
  </mergeCells>
  <printOptions horizontalCentered="1"/>
  <pageMargins left="0.25" right="0.25" top="0.25" bottom="0.25" header="0.3" footer="0.3"/>
  <pageSetup paperSize="9" scale="65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RAB 4 Hasil meeting 5 apr 26</vt:lpstr>
      <vt:lpstr>'RAB 4 Hasil meeting 5 apr 26'!Print_Area</vt:lpstr>
      <vt:lpstr>'RAB 4 Hasil meeting 5 apr 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HANIF W</dc:creator>
  <cp:lastModifiedBy>TUF GAMING X01N63106A</cp:lastModifiedBy>
  <cp:lastPrinted>2026-04-06T01:51:46Z</cp:lastPrinted>
  <dcterms:created xsi:type="dcterms:W3CDTF">2026-02-05T07:18:01Z</dcterms:created>
  <dcterms:modified xsi:type="dcterms:W3CDTF">2026-09-25T08:17:59Z</dcterms:modified>
</cp:coreProperties>
</file>